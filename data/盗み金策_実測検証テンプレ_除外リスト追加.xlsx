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70435abe0c053/ドキュメント/GitHub/dq10 tool/data/"/>
    </mc:Choice>
  </mc:AlternateContent>
  <xr:revisionPtr revIDLastSave="39" documentId="13_ncr:1_{C9EA080A-6087-4E56-B5E7-6690786DA89C}" xr6:coauthVersionLast="47" xr6:coauthVersionMax="47" xr10:uidLastSave="{30AA8D5D-BDBC-417A-BD30-AE6C3D8AF79E}"/>
  <bookViews>
    <workbookView xWindow="28680" yWindow="-120" windowWidth="29040" windowHeight="15720" xr2:uid="{00000000-000D-0000-FFFF-FFFF00000000}"/>
  </bookViews>
  <sheets>
    <sheet name="検証ログ" sheetId="1" r:id="rId1"/>
    <sheet name="実測ランキング" sheetId="2" r:id="rId2"/>
    <sheet name="設定" sheetId="3" r:id="rId3"/>
    <sheet name="使い方" sheetId="4" r:id="rId4"/>
    <sheet name="除外リス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N6" i="2"/>
  <c r="K6" i="2"/>
  <c r="N5" i="2"/>
  <c r="K5" i="2"/>
  <c r="N4" i="2"/>
  <c r="K4" i="2"/>
  <c r="Y301" i="1"/>
  <c r="X301" i="1"/>
  <c r="W301" i="1"/>
  <c r="V301" i="1"/>
  <c r="U301" i="1"/>
  <c r="Y300" i="1"/>
  <c r="X300" i="1"/>
  <c r="W300" i="1"/>
  <c r="V300" i="1"/>
  <c r="U300" i="1"/>
  <c r="Y299" i="1"/>
  <c r="X299" i="1"/>
  <c r="W299" i="1"/>
  <c r="V299" i="1"/>
  <c r="U299" i="1"/>
  <c r="Y298" i="1"/>
  <c r="X298" i="1"/>
  <c r="W298" i="1"/>
  <c r="V298" i="1"/>
  <c r="U298" i="1"/>
  <c r="Y297" i="1"/>
  <c r="X297" i="1"/>
  <c r="W297" i="1"/>
  <c r="V297" i="1"/>
  <c r="U297" i="1"/>
  <c r="Y296" i="1"/>
  <c r="X296" i="1"/>
  <c r="W296" i="1"/>
  <c r="V296" i="1"/>
  <c r="U296" i="1"/>
  <c r="Y295" i="1"/>
  <c r="X295" i="1"/>
  <c r="W295" i="1"/>
  <c r="V295" i="1"/>
  <c r="U295" i="1"/>
  <c r="Y294" i="1"/>
  <c r="X294" i="1"/>
  <c r="W294" i="1"/>
  <c r="V294" i="1"/>
  <c r="U294" i="1"/>
  <c r="Y293" i="1"/>
  <c r="X293" i="1"/>
  <c r="W293" i="1"/>
  <c r="V293" i="1"/>
  <c r="U293" i="1"/>
  <c r="Y292" i="1"/>
  <c r="X292" i="1"/>
  <c r="W292" i="1"/>
  <c r="V292" i="1"/>
  <c r="U292" i="1"/>
  <c r="Y291" i="1"/>
  <c r="X291" i="1"/>
  <c r="W291" i="1"/>
  <c r="V291" i="1"/>
  <c r="U291" i="1"/>
  <c r="Y290" i="1"/>
  <c r="X290" i="1"/>
  <c r="W290" i="1"/>
  <c r="V290" i="1"/>
  <c r="U290" i="1"/>
  <c r="Y289" i="1"/>
  <c r="X289" i="1"/>
  <c r="W289" i="1"/>
  <c r="V289" i="1"/>
  <c r="U289" i="1"/>
  <c r="Y288" i="1"/>
  <c r="X288" i="1"/>
  <c r="W288" i="1"/>
  <c r="V288" i="1"/>
  <c r="U288" i="1"/>
  <c r="Y287" i="1"/>
  <c r="X287" i="1"/>
  <c r="W287" i="1"/>
  <c r="V287" i="1"/>
  <c r="U287" i="1"/>
  <c r="Y286" i="1"/>
  <c r="X286" i="1"/>
  <c r="W286" i="1"/>
  <c r="V286" i="1"/>
  <c r="U286" i="1"/>
  <c r="Y285" i="1"/>
  <c r="X285" i="1"/>
  <c r="W285" i="1"/>
  <c r="V285" i="1"/>
  <c r="U285" i="1"/>
  <c r="Y284" i="1"/>
  <c r="X284" i="1"/>
  <c r="W284" i="1"/>
  <c r="V284" i="1"/>
  <c r="U284" i="1"/>
  <c r="Y283" i="1"/>
  <c r="X283" i="1"/>
  <c r="W283" i="1"/>
  <c r="V283" i="1"/>
  <c r="U283" i="1"/>
  <c r="Y282" i="1"/>
  <c r="X282" i="1"/>
  <c r="W282" i="1"/>
  <c r="V282" i="1"/>
  <c r="U282" i="1"/>
  <c r="Y281" i="1"/>
  <c r="X281" i="1"/>
  <c r="W281" i="1"/>
  <c r="V281" i="1"/>
  <c r="U281" i="1"/>
  <c r="Y280" i="1"/>
  <c r="X280" i="1"/>
  <c r="W280" i="1"/>
  <c r="V280" i="1"/>
  <c r="U280" i="1"/>
  <c r="Y279" i="1"/>
  <c r="X279" i="1"/>
  <c r="W279" i="1"/>
  <c r="V279" i="1"/>
  <c r="U279" i="1"/>
  <c r="Y278" i="1"/>
  <c r="X278" i="1"/>
  <c r="W278" i="1"/>
  <c r="V278" i="1"/>
  <c r="U278" i="1"/>
  <c r="Y277" i="1"/>
  <c r="X277" i="1"/>
  <c r="W277" i="1"/>
  <c r="V277" i="1"/>
  <c r="U277" i="1"/>
  <c r="Y276" i="1"/>
  <c r="X276" i="1"/>
  <c r="W276" i="1"/>
  <c r="V276" i="1"/>
  <c r="U276" i="1"/>
  <c r="Y275" i="1"/>
  <c r="X275" i="1"/>
  <c r="W275" i="1"/>
  <c r="V275" i="1"/>
  <c r="U275" i="1"/>
  <c r="Y274" i="1"/>
  <c r="X274" i="1"/>
  <c r="W274" i="1"/>
  <c r="V274" i="1"/>
  <c r="U274" i="1"/>
  <c r="Y273" i="1"/>
  <c r="X273" i="1"/>
  <c r="W273" i="1"/>
  <c r="V273" i="1"/>
  <c r="U273" i="1"/>
  <c r="Y272" i="1"/>
  <c r="X272" i="1"/>
  <c r="W272" i="1"/>
  <c r="V272" i="1"/>
  <c r="U272" i="1"/>
  <c r="Y271" i="1"/>
  <c r="X271" i="1"/>
  <c r="W271" i="1"/>
  <c r="V271" i="1"/>
  <c r="U271" i="1"/>
  <c r="Y270" i="1"/>
  <c r="X270" i="1"/>
  <c r="W270" i="1"/>
  <c r="V270" i="1"/>
  <c r="U270" i="1"/>
  <c r="Y269" i="1"/>
  <c r="X269" i="1"/>
  <c r="W269" i="1"/>
  <c r="V269" i="1"/>
  <c r="U269" i="1"/>
  <c r="Y268" i="1"/>
  <c r="X268" i="1"/>
  <c r="W268" i="1"/>
  <c r="V268" i="1"/>
  <c r="U268" i="1"/>
  <c r="Y267" i="1"/>
  <c r="X267" i="1"/>
  <c r="W267" i="1"/>
  <c r="V267" i="1"/>
  <c r="U267" i="1"/>
  <c r="Y266" i="1"/>
  <c r="X266" i="1"/>
  <c r="W266" i="1"/>
  <c r="V266" i="1"/>
  <c r="U266" i="1"/>
  <c r="Y265" i="1"/>
  <c r="X265" i="1"/>
  <c r="W265" i="1"/>
  <c r="V265" i="1"/>
  <c r="U265" i="1"/>
  <c r="Y264" i="1"/>
  <c r="X264" i="1"/>
  <c r="W264" i="1"/>
  <c r="V264" i="1"/>
  <c r="U264" i="1"/>
  <c r="Y263" i="1"/>
  <c r="X263" i="1"/>
  <c r="W263" i="1"/>
  <c r="V263" i="1"/>
  <c r="U263" i="1"/>
  <c r="Y262" i="1"/>
  <c r="X262" i="1"/>
  <c r="W262" i="1"/>
  <c r="V262" i="1"/>
  <c r="U262" i="1"/>
  <c r="Y261" i="1"/>
  <c r="X261" i="1"/>
  <c r="W261" i="1"/>
  <c r="V261" i="1"/>
  <c r="U261" i="1"/>
  <c r="Y260" i="1"/>
  <c r="X260" i="1"/>
  <c r="W260" i="1"/>
  <c r="V260" i="1"/>
  <c r="U260" i="1"/>
  <c r="Y259" i="1"/>
  <c r="X259" i="1"/>
  <c r="W259" i="1"/>
  <c r="V259" i="1"/>
  <c r="U259" i="1"/>
  <c r="Y258" i="1"/>
  <c r="X258" i="1"/>
  <c r="W258" i="1"/>
  <c r="V258" i="1"/>
  <c r="U258" i="1"/>
  <c r="Y257" i="1"/>
  <c r="X257" i="1"/>
  <c r="W257" i="1"/>
  <c r="V257" i="1"/>
  <c r="U257" i="1"/>
  <c r="Y256" i="1"/>
  <c r="X256" i="1"/>
  <c r="W256" i="1"/>
  <c r="V256" i="1"/>
  <c r="U256" i="1"/>
  <c r="Y255" i="1"/>
  <c r="X255" i="1"/>
  <c r="W255" i="1"/>
  <c r="V255" i="1"/>
  <c r="U255" i="1"/>
  <c r="Y254" i="1"/>
  <c r="X254" i="1"/>
  <c r="W254" i="1"/>
  <c r="V254" i="1"/>
  <c r="U254" i="1"/>
  <c r="Y253" i="1"/>
  <c r="X253" i="1"/>
  <c r="W253" i="1"/>
  <c r="V253" i="1"/>
  <c r="U253" i="1"/>
  <c r="Y252" i="1"/>
  <c r="X252" i="1"/>
  <c r="W252" i="1"/>
  <c r="V252" i="1"/>
  <c r="U252" i="1"/>
  <c r="Y251" i="1"/>
  <c r="X251" i="1"/>
  <c r="W251" i="1"/>
  <c r="V251" i="1"/>
  <c r="U251" i="1"/>
  <c r="Y250" i="1"/>
  <c r="X250" i="1"/>
  <c r="W250" i="1"/>
  <c r="V250" i="1"/>
  <c r="U250" i="1"/>
  <c r="Y249" i="1"/>
  <c r="X249" i="1"/>
  <c r="W249" i="1"/>
  <c r="V249" i="1"/>
  <c r="U249" i="1"/>
  <c r="Y248" i="1"/>
  <c r="X248" i="1"/>
  <c r="W248" i="1"/>
  <c r="V248" i="1"/>
  <c r="U248" i="1"/>
  <c r="Y247" i="1"/>
  <c r="X247" i="1"/>
  <c r="W247" i="1"/>
  <c r="V247" i="1"/>
  <c r="U247" i="1"/>
  <c r="Y246" i="1"/>
  <c r="X246" i="1"/>
  <c r="W246" i="1"/>
  <c r="V246" i="1"/>
  <c r="U246" i="1"/>
  <c r="Y245" i="1"/>
  <c r="X245" i="1"/>
  <c r="W245" i="1"/>
  <c r="V245" i="1"/>
  <c r="U245" i="1"/>
  <c r="Y244" i="1"/>
  <c r="X244" i="1"/>
  <c r="W244" i="1"/>
  <c r="V244" i="1"/>
  <c r="U244" i="1"/>
  <c r="Y243" i="1"/>
  <c r="X243" i="1"/>
  <c r="W243" i="1"/>
  <c r="V243" i="1"/>
  <c r="U243" i="1"/>
  <c r="Y242" i="1"/>
  <c r="X242" i="1"/>
  <c r="W242" i="1"/>
  <c r="V242" i="1"/>
  <c r="U242" i="1"/>
  <c r="Y241" i="1"/>
  <c r="X241" i="1"/>
  <c r="W241" i="1"/>
  <c r="V241" i="1"/>
  <c r="U241" i="1"/>
  <c r="Y240" i="1"/>
  <c r="X240" i="1"/>
  <c r="W240" i="1"/>
  <c r="V240" i="1"/>
  <c r="U240" i="1"/>
  <c r="Y239" i="1"/>
  <c r="X239" i="1"/>
  <c r="W239" i="1"/>
  <c r="V239" i="1"/>
  <c r="U239" i="1"/>
  <c r="Y238" i="1"/>
  <c r="X238" i="1"/>
  <c r="W238" i="1"/>
  <c r="V238" i="1"/>
  <c r="U238" i="1"/>
  <c r="Y237" i="1"/>
  <c r="X237" i="1"/>
  <c r="W237" i="1"/>
  <c r="V237" i="1"/>
  <c r="U237" i="1"/>
  <c r="Y236" i="1"/>
  <c r="X236" i="1"/>
  <c r="W236" i="1"/>
  <c r="V236" i="1"/>
  <c r="U236" i="1"/>
  <c r="Y235" i="1"/>
  <c r="X235" i="1"/>
  <c r="W235" i="1"/>
  <c r="V235" i="1"/>
  <c r="U235" i="1"/>
  <c r="Y234" i="1"/>
  <c r="X234" i="1"/>
  <c r="W234" i="1"/>
  <c r="V234" i="1"/>
  <c r="U234" i="1"/>
  <c r="Y233" i="1"/>
  <c r="X233" i="1"/>
  <c r="W233" i="1"/>
  <c r="V233" i="1"/>
  <c r="U233" i="1"/>
  <c r="Y232" i="1"/>
  <c r="X232" i="1"/>
  <c r="W232" i="1"/>
  <c r="V232" i="1"/>
  <c r="U232" i="1"/>
  <c r="Y231" i="1"/>
  <c r="X231" i="1"/>
  <c r="W231" i="1"/>
  <c r="V231" i="1"/>
  <c r="U231" i="1"/>
  <c r="Y230" i="1"/>
  <c r="X230" i="1"/>
  <c r="W230" i="1"/>
  <c r="V230" i="1"/>
  <c r="U230" i="1"/>
  <c r="Y229" i="1"/>
  <c r="X229" i="1"/>
  <c r="W229" i="1"/>
  <c r="V229" i="1"/>
  <c r="U229" i="1"/>
  <c r="Y228" i="1"/>
  <c r="X228" i="1"/>
  <c r="W228" i="1"/>
  <c r="V228" i="1"/>
  <c r="U228" i="1"/>
  <c r="Y227" i="1"/>
  <c r="X227" i="1"/>
  <c r="W227" i="1"/>
  <c r="V227" i="1"/>
  <c r="U227" i="1"/>
  <c r="Y226" i="1"/>
  <c r="X226" i="1"/>
  <c r="W226" i="1"/>
  <c r="V226" i="1"/>
  <c r="U226" i="1"/>
  <c r="Y225" i="1"/>
  <c r="X225" i="1"/>
  <c r="W225" i="1"/>
  <c r="V225" i="1"/>
  <c r="U225" i="1"/>
  <c r="Y224" i="1"/>
  <c r="X224" i="1"/>
  <c r="W224" i="1"/>
  <c r="V224" i="1"/>
  <c r="U224" i="1"/>
  <c r="Y223" i="1"/>
  <c r="X223" i="1"/>
  <c r="W223" i="1"/>
  <c r="V223" i="1"/>
  <c r="U223" i="1"/>
  <c r="Y222" i="1"/>
  <c r="X222" i="1"/>
  <c r="W222" i="1"/>
  <c r="V222" i="1"/>
  <c r="U222" i="1"/>
  <c r="Y221" i="1"/>
  <c r="X221" i="1"/>
  <c r="W221" i="1"/>
  <c r="V221" i="1"/>
  <c r="U221" i="1"/>
  <c r="Y220" i="1"/>
  <c r="X220" i="1"/>
  <c r="W220" i="1"/>
  <c r="V220" i="1"/>
  <c r="U220" i="1"/>
  <c r="Y219" i="1"/>
  <c r="X219" i="1"/>
  <c r="W219" i="1"/>
  <c r="V219" i="1"/>
  <c r="U219" i="1"/>
  <c r="Y218" i="1"/>
  <c r="X218" i="1"/>
  <c r="W218" i="1"/>
  <c r="V218" i="1"/>
  <c r="U218" i="1"/>
  <c r="Y217" i="1"/>
  <c r="X217" i="1"/>
  <c r="W217" i="1"/>
  <c r="V217" i="1"/>
  <c r="U217" i="1"/>
  <c r="Y216" i="1"/>
  <c r="X216" i="1"/>
  <c r="W216" i="1"/>
  <c r="V216" i="1"/>
  <c r="U216" i="1"/>
  <c r="Y215" i="1"/>
  <c r="X215" i="1"/>
  <c r="W215" i="1"/>
  <c r="V215" i="1"/>
  <c r="U215" i="1"/>
  <c r="Y214" i="1"/>
  <c r="X214" i="1"/>
  <c r="W214" i="1"/>
  <c r="V214" i="1"/>
  <c r="U214" i="1"/>
  <c r="Y213" i="1"/>
  <c r="X213" i="1"/>
  <c r="W213" i="1"/>
  <c r="V213" i="1"/>
  <c r="U213" i="1"/>
  <c r="Y212" i="1"/>
  <c r="X212" i="1"/>
  <c r="W212" i="1"/>
  <c r="V212" i="1"/>
  <c r="U212" i="1"/>
  <c r="Y211" i="1"/>
  <c r="X211" i="1"/>
  <c r="W211" i="1"/>
  <c r="V211" i="1"/>
  <c r="U211" i="1"/>
  <c r="Y210" i="1"/>
  <c r="X210" i="1"/>
  <c r="W210" i="1"/>
  <c r="V210" i="1"/>
  <c r="U210" i="1"/>
  <c r="Y209" i="1"/>
  <c r="X209" i="1"/>
  <c r="W209" i="1"/>
  <c r="V209" i="1"/>
  <c r="U209" i="1"/>
  <c r="Y208" i="1"/>
  <c r="X208" i="1"/>
  <c r="W208" i="1"/>
  <c r="V208" i="1"/>
  <c r="U208" i="1"/>
  <c r="Y207" i="1"/>
  <c r="X207" i="1"/>
  <c r="W207" i="1"/>
  <c r="V207" i="1"/>
  <c r="U207" i="1"/>
  <c r="Y206" i="1"/>
  <c r="X206" i="1"/>
  <c r="W206" i="1"/>
  <c r="V206" i="1"/>
  <c r="U206" i="1"/>
  <c r="Y205" i="1"/>
  <c r="X205" i="1"/>
  <c r="W205" i="1"/>
  <c r="V205" i="1"/>
  <c r="U205" i="1"/>
  <c r="Y204" i="1"/>
  <c r="X204" i="1"/>
  <c r="W204" i="1"/>
  <c r="V204" i="1"/>
  <c r="U204" i="1"/>
  <c r="Y203" i="1"/>
  <c r="X203" i="1"/>
  <c r="W203" i="1"/>
  <c r="V203" i="1"/>
  <c r="U203" i="1"/>
  <c r="Y202" i="1"/>
  <c r="X202" i="1"/>
  <c r="W202" i="1"/>
  <c r="V202" i="1"/>
  <c r="U202" i="1"/>
  <c r="Y201" i="1"/>
  <c r="X201" i="1"/>
  <c r="W201" i="1"/>
  <c r="V201" i="1"/>
  <c r="U201" i="1"/>
  <c r="Y200" i="1"/>
  <c r="X200" i="1"/>
  <c r="W200" i="1"/>
  <c r="V200" i="1"/>
  <c r="U200" i="1"/>
  <c r="Y199" i="1"/>
  <c r="X199" i="1"/>
  <c r="W199" i="1"/>
  <c r="V199" i="1"/>
  <c r="U199" i="1"/>
  <c r="Y198" i="1"/>
  <c r="X198" i="1"/>
  <c r="W198" i="1"/>
  <c r="V198" i="1"/>
  <c r="U198" i="1"/>
  <c r="Y197" i="1"/>
  <c r="X197" i="1"/>
  <c r="W197" i="1"/>
  <c r="V197" i="1"/>
  <c r="U197" i="1"/>
  <c r="Y196" i="1"/>
  <c r="X196" i="1"/>
  <c r="W196" i="1"/>
  <c r="V196" i="1"/>
  <c r="U196" i="1"/>
  <c r="Y195" i="1"/>
  <c r="X195" i="1"/>
  <c r="W195" i="1"/>
  <c r="V195" i="1"/>
  <c r="U195" i="1"/>
  <c r="Y194" i="1"/>
  <c r="X194" i="1"/>
  <c r="W194" i="1"/>
  <c r="V194" i="1"/>
  <c r="U194" i="1"/>
  <c r="Y193" i="1"/>
  <c r="X193" i="1"/>
  <c r="W193" i="1"/>
  <c r="V193" i="1"/>
  <c r="U193" i="1"/>
  <c r="Y192" i="1"/>
  <c r="X192" i="1"/>
  <c r="W192" i="1"/>
  <c r="V192" i="1"/>
  <c r="U192" i="1"/>
  <c r="Y191" i="1"/>
  <c r="X191" i="1"/>
  <c r="W191" i="1"/>
  <c r="V191" i="1"/>
  <c r="U191" i="1"/>
  <c r="Y190" i="1"/>
  <c r="X190" i="1"/>
  <c r="W190" i="1"/>
  <c r="V190" i="1"/>
  <c r="U190" i="1"/>
  <c r="Y189" i="1"/>
  <c r="X189" i="1"/>
  <c r="W189" i="1"/>
  <c r="V189" i="1"/>
  <c r="U189" i="1"/>
  <c r="Y188" i="1"/>
  <c r="X188" i="1"/>
  <c r="W188" i="1"/>
  <c r="V188" i="1"/>
  <c r="U188" i="1"/>
  <c r="Y187" i="1"/>
  <c r="X187" i="1"/>
  <c r="W187" i="1"/>
  <c r="V187" i="1"/>
  <c r="U187" i="1"/>
  <c r="Y186" i="1"/>
  <c r="X186" i="1"/>
  <c r="W186" i="1"/>
  <c r="V186" i="1"/>
  <c r="U186" i="1"/>
  <c r="Y185" i="1"/>
  <c r="X185" i="1"/>
  <c r="W185" i="1"/>
  <c r="V185" i="1"/>
  <c r="U185" i="1"/>
  <c r="Y184" i="1"/>
  <c r="X184" i="1"/>
  <c r="W184" i="1"/>
  <c r="V184" i="1"/>
  <c r="U184" i="1"/>
  <c r="Y183" i="1"/>
  <c r="X183" i="1"/>
  <c r="W183" i="1"/>
  <c r="V183" i="1"/>
  <c r="U183" i="1"/>
  <c r="Y182" i="1"/>
  <c r="X182" i="1"/>
  <c r="W182" i="1"/>
  <c r="V182" i="1"/>
  <c r="U182" i="1"/>
  <c r="Y181" i="1"/>
  <c r="X181" i="1"/>
  <c r="W181" i="1"/>
  <c r="V181" i="1"/>
  <c r="U181" i="1"/>
  <c r="Y180" i="1"/>
  <c r="X180" i="1"/>
  <c r="W180" i="1"/>
  <c r="V180" i="1"/>
  <c r="U180" i="1"/>
  <c r="Y179" i="1"/>
  <c r="X179" i="1"/>
  <c r="W179" i="1"/>
  <c r="V179" i="1"/>
  <c r="U179" i="1"/>
  <c r="Y178" i="1"/>
  <c r="X178" i="1"/>
  <c r="W178" i="1"/>
  <c r="V178" i="1"/>
  <c r="U178" i="1"/>
  <c r="Y177" i="1"/>
  <c r="X177" i="1"/>
  <c r="W177" i="1"/>
  <c r="V177" i="1"/>
  <c r="U177" i="1"/>
  <c r="Y176" i="1"/>
  <c r="X176" i="1"/>
  <c r="W176" i="1"/>
  <c r="V176" i="1"/>
  <c r="U176" i="1"/>
  <c r="Y175" i="1"/>
  <c r="X175" i="1"/>
  <c r="W175" i="1"/>
  <c r="V175" i="1"/>
  <c r="U175" i="1"/>
  <c r="Y174" i="1"/>
  <c r="X174" i="1"/>
  <c r="W174" i="1"/>
  <c r="V174" i="1"/>
  <c r="U174" i="1"/>
  <c r="Y173" i="1"/>
  <c r="X173" i="1"/>
  <c r="W173" i="1"/>
  <c r="V173" i="1"/>
  <c r="U173" i="1"/>
  <c r="Y172" i="1"/>
  <c r="X172" i="1"/>
  <c r="W172" i="1"/>
  <c r="V172" i="1"/>
  <c r="U172" i="1"/>
  <c r="Y171" i="1"/>
  <c r="X171" i="1"/>
  <c r="W171" i="1"/>
  <c r="V171" i="1"/>
  <c r="U171" i="1"/>
  <c r="Y170" i="1"/>
  <c r="X170" i="1"/>
  <c r="W170" i="1"/>
  <c r="V170" i="1"/>
  <c r="U170" i="1"/>
  <c r="Y169" i="1"/>
  <c r="X169" i="1"/>
  <c r="W169" i="1"/>
  <c r="V169" i="1"/>
  <c r="U169" i="1"/>
  <c r="Y168" i="1"/>
  <c r="X168" i="1"/>
  <c r="W168" i="1"/>
  <c r="V168" i="1"/>
  <c r="U168" i="1"/>
  <c r="Y167" i="1"/>
  <c r="X167" i="1"/>
  <c r="W167" i="1"/>
  <c r="V167" i="1"/>
  <c r="U167" i="1"/>
  <c r="Y166" i="1"/>
  <c r="X166" i="1"/>
  <c r="W166" i="1"/>
  <c r="V166" i="1"/>
  <c r="U166" i="1"/>
  <c r="Y165" i="1"/>
  <c r="X165" i="1"/>
  <c r="W165" i="1"/>
  <c r="V165" i="1"/>
  <c r="U165" i="1"/>
  <c r="Y164" i="1"/>
  <c r="X164" i="1"/>
  <c r="W164" i="1"/>
  <c r="V164" i="1"/>
  <c r="U164" i="1"/>
  <c r="Y163" i="1"/>
  <c r="X163" i="1"/>
  <c r="W163" i="1"/>
  <c r="V163" i="1"/>
  <c r="U163" i="1"/>
  <c r="Y162" i="1"/>
  <c r="X162" i="1"/>
  <c r="W162" i="1"/>
  <c r="V162" i="1"/>
  <c r="U162" i="1"/>
  <c r="Y161" i="1"/>
  <c r="X161" i="1"/>
  <c r="W161" i="1"/>
  <c r="V161" i="1"/>
  <c r="U161" i="1"/>
  <c r="Y160" i="1"/>
  <c r="X160" i="1"/>
  <c r="W160" i="1"/>
  <c r="V160" i="1"/>
  <c r="U160" i="1"/>
  <c r="Y159" i="1"/>
  <c r="X159" i="1"/>
  <c r="W159" i="1"/>
  <c r="V159" i="1"/>
  <c r="U159" i="1"/>
  <c r="Y158" i="1"/>
  <c r="X158" i="1"/>
  <c r="W158" i="1"/>
  <c r="V158" i="1"/>
  <c r="U158" i="1"/>
  <c r="Y157" i="1"/>
  <c r="X157" i="1"/>
  <c r="W157" i="1"/>
  <c r="V157" i="1"/>
  <c r="U157" i="1"/>
  <c r="Y156" i="1"/>
  <c r="X156" i="1"/>
  <c r="W156" i="1"/>
  <c r="V156" i="1"/>
  <c r="U156" i="1"/>
  <c r="Y155" i="1"/>
  <c r="X155" i="1"/>
  <c r="W155" i="1"/>
  <c r="V155" i="1"/>
  <c r="U155" i="1"/>
  <c r="Y154" i="1"/>
  <c r="X154" i="1"/>
  <c r="W154" i="1"/>
  <c r="V154" i="1"/>
  <c r="U154" i="1"/>
  <c r="Y153" i="1"/>
  <c r="X153" i="1"/>
  <c r="W153" i="1"/>
  <c r="V153" i="1"/>
  <c r="U153" i="1"/>
  <c r="Y152" i="1"/>
  <c r="X152" i="1"/>
  <c r="W152" i="1"/>
  <c r="V152" i="1"/>
  <c r="U152" i="1"/>
  <c r="Y151" i="1"/>
  <c r="X151" i="1"/>
  <c r="W151" i="1"/>
  <c r="V151" i="1"/>
  <c r="U151" i="1"/>
  <c r="Y150" i="1"/>
  <c r="X150" i="1"/>
  <c r="W150" i="1"/>
  <c r="V150" i="1"/>
  <c r="U150" i="1"/>
  <c r="Y149" i="1"/>
  <c r="X149" i="1"/>
  <c r="W149" i="1"/>
  <c r="V149" i="1"/>
  <c r="U149" i="1"/>
  <c r="Y148" i="1"/>
  <c r="X148" i="1"/>
  <c r="W148" i="1"/>
  <c r="V148" i="1"/>
  <c r="U148" i="1"/>
  <c r="Y147" i="1"/>
  <c r="X147" i="1"/>
  <c r="W147" i="1"/>
  <c r="V147" i="1"/>
  <c r="U147" i="1"/>
  <c r="Y146" i="1"/>
  <c r="X146" i="1"/>
  <c r="W146" i="1"/>
  <c r="V146" i="1"/>
  <c r="U146" i="1"/>
  <c r="Y145" i="1"/>
  <c r="X145" i="1"/>
  <c r="W145" i="1"/>
  <c r="V145" i="1"/>
  <c r="U145" i="1"/>
  <c r="Y144" i="1"/>
  <c r="X144" i="1"/>
  <c r="W144" i="1"/>
  <c r="V144" i="1"/>
  <c r="U144" i="1"/>
  <c r="Y143" i="1"/>
  <c r="X143" i="1"/>
  <c r="W143" i="1"/>
  <c r="V143" i="1"/>
  <c r="U143" i="1"/>
  <c r="Y142" i="1"/>
  <c r="X142" i="1"/>
  <c r="W142" i="1"/>
  <c r="V142" i="1"/>
  <c r="U142" i="1"/>
  <c r="Y141" i="1"/>
  <c r="X141" i="1"/>
  <c r="W141" i="1"/>
  <c r="V141" i="1"/>
  <c r="U141" i="1"/>
  <c r="Y140" i="1"/>
  <c r="X140" i="1"/>
  <c r="W140" i="1"/>
  <c r="V140" i="1"/>
  <c r="U140" i="1"/>
  <c r="Y139" i="1"/>
  <c r="X139" i="1"/>
  <c r="W139" i="1"/>
  <c r="V139" i="1"/>
  <c r="U139" i="1"/>
  <c r="Y138" i="1"/>
  <c r="X138" i="1"/>
  <c r="W138" i="1"/>
  <c r="V138" i="1"/>
  <c r="U138" i="1"/>
  <c r="Y137" i="1"/>
  <c r="X137" i="1"/>
  <c r="W137" i="1"/>
  <c r="V137" i="1"/>
  <c r="U137" i="1"/>
  <c r="Y136" i="1"/>
  <c r="X136" i="1"/>
  <c r="W136" i="1"/>
  <c r="V136" i="1"/>
  <c r="U136" i="1"/>
  <c r="Y135" i="1"/>
  <c r="X135" i="1"/>
  <c r="W135" i="1"/>
  <c r="V135" i="1"/>
  <c r="U135" i="1"/>
  <c r="Y134" i="1"/>
  <c r="X134" i="1"/>
  <c r="W134" i="1"/>
  <c r="V134" i="1"/>
  <c r="U134" i="1"/>
  <c r="Y133" i="1"/>
  <c r="X133" i="1"/>
  <c r="W133" i="1"/>
  <c r="V133" i="1"/>
  <c r="U133" i="1"/>
  <c r="Y132" i="1"/>
  <c r="X132" i="1"/>
  <c r="W132" i="1"/>
  <c r="V132" i="1"/>
  <c r="U132" i="1"/>
  <c r="Y131" i="1"/>
  <c r="X131" i="1"/>
  <c r="W131" i="1"/>
  <c r="V131" i="1"/>
  <c r="U131" i="1"/>
  <c r="Y130" i="1"/>
  <c r="X130" i="1"/>
  <c r="W130" i="1"/>
  <c r="V130" i="1"/>
  <c r="U130" i="1"/>
  <c r="Y129" i="1"/>
  <c r="X129" i="1"/>
  <c r="W129" i="1"/>
  <c r="V129" i="1"/>
  <c r="U129" i="1"/>
  <c r="Y128" i="1"/>
  <c r="X128" i="1"/>
  <c r="W128" i="1"/>
  <c r="V128" i="1"/>
  <c r="U128" i="1"/>
  <c r="Y127" i="1"/>
  <c r="X127" i="1"/>
  <c r="W127" i="1"/>
  <c r="V127" i="1"/>
  <c r="U127" i="1"/>
  <c r="Y126" i="1"/>
  <c r="X126" i="1"/>
  <c r="W126" i="1"/>
  <c r="V126" i="1"/>
  <c r="U126" i="1"/>
  <c r="Y125" i="1"/>
  <c r="X125" i="1"/>
  <c r="W125" i="1"/>
  <c r="V125" i="1"/>
  <c r="U125" i="1"/>
  <c r="Y124" i="1"/>
  <c r="X124" i="1"/>
  <c r="W124" i="1"/>
  <c r="V124" i="1"/>
  <c r="U124" i="1"/>
  <c r="Y123" i="1"/>
  <c r="X123" i="1"/>
  <c r="W123" i="1"/>
  <c r="V123" i="1"/>
  <c r="U123" i="1"/>
  <c r="Y122" i="1"/>
  <c r="X122" i="1"/>
  <c r="W122" i="1"/>
  <c r="V122" i="1"/>
  <c r="U122" i="1"/>
  <c r="Y121" i="1"/>
  <c r="X121" i="1"/>
  <c r="W121" i="1"/>
  <c r="V121" i="1"/>
  <c r="U121" i="1"/>
  <c r="Y120" i="1"/>
  <c r="X120" i="1"/>
  <c r="W120" i="1"/>
  <c r="V120" i="1"/>
  <c r="U120" i="1"/>
  <c r="Y119" i="1"/>
  <c r="X119" i="1"/>
  <c r="W119" i="1"/>
  <c r="V119" i="1"/>
  <c r="U119" i="1"/>
  <c r="Y118" i="1"/>
  <c r="X118" i="1"/>
  <c r="W118" i="1"/>
  <c r="V118" i="1"/>
  <c r="U118" i="1"/>
  <c r="Y117" i="1"/>
  <c r="X117" i="1"/>
  <c r="W117" i="1"/>
  <c r="V117" i="1"/>
  <c r="U117" i="1"/>
  <c r="Y116" i="1"/>
  <c r="X116" i="1"/>
  <c r="W116" i="1"/>
  <c r="V116" i="1"/>
  <c r="U116" i="1"/>
  <c r="Y115" i="1"/>
  <c r="X115" i="1"/>
  <c r="W115" i="1"/>
  <c r="V115" i="1"/>
  <c r="U115" i="1"/>
  <c r="Y114" i="1"/>
  <c r="X114" i="1"/>
  <c r="W114" i="1"/>
  <c r="V114" i="1"/>
  <c r="U114" i="1"/>
  <c r="Y113" i="1"/>
  <c r="X113" i="1"/>
  <c r="W113" i="1"/>
  <c r="V113" i="1"/>
  <c r="U113" i="1"/>
  <c r="Y112" i="1"/>
  <c r="X112" i="1"/>
  <c r="W112" i="1"/>
  <c r="V112" i="1"/>
  <c r="U112" i="1"/>
  <c r="Y111" i="1"/>
  <c r="X111" i="1"/>
  <c r="W111" i="1"/>
  <c r="V111" i="1"/>
  <c r="U111" i="1"/>
  <c r="Y110" i="1"/>
  <c r="X110" i="1"/>
  <c r="W110" i="1"/>
  <c r="V110" i="1"/>
  <c r="U110" i="1"/>
  <c r="Y109" i="1"/>
  <c r="X109" i="1"/>
  <c r="W109" i="1"/>
  <c r="V109" i="1"/>
  <c r="U109" i="1"/>
  <c r="Y108" i="1"/>
  <c r="X108" i="1"/>
  <c r="W108" i="1"/>
  <c r="V108" i="1"/>
  <c r="U108" i="1"/>
  <c r="Y107" i="1"/>
  <c r="X107" i="1"/>
  <c r="W107" i="1"/>
  <c r="V107" i="1"/>
  <c r="U107" i="1"/>
  <c r="Y106" i="1"/>
  <c r="X106" i="1"/>
  <c r="W106" i="1"/>
  <c r="V106" i="1"/>
  <c r="U106" i="1"/>
  <c r="Y105" i="1"/>
  <c r="X105" i="1"/>
  <c r="W105" i="1"/>
  <c r="V105" i="1"/>
  <c r="U105" i="1"/>
  <c r="Y104" i="1"/>
  <c r="X104" i="1"/>
  <c r="W104" i="1"/>
  <c r="V104" i="1"/>
  <c r="U104" i="1"/>
  <c r="Y103" i="1"/>
  <c r="X103" i="1"/>
  <c r="W103" i="1"/>
  <c r="V103" i="1"/>
  <c r="U103" i="1"/>
  <c r="Y102" i="1"/>
  <c r="X102" i="1"/>
  <c r="W102" i="1"/>
  <c r="V102" i="1"/>
  <c r="U102" i="1"/>
  <c r="Y101" i="1"/>
  <c r="X101" i="1"/>
  <c r="W101" i="1"/>
  <c r="V101" i="1"/>
  <c r="U101" i="1"/>
  <c r="Y100" i="1"/>
  <c r="X100" i="1"/>
  <c r="W100" i="1"/>
  <c r="V100" i="1"/>
  <c r="U100" i="1"/>
  <c r="Y99" i="1"/>
  <c r="X99" i="1"/>
  <c r="W99" i="1"/>
  <c r="V99" i="1"/>
  <c r="U99" i="1"/>
  <c r="Y98" i="1"/>
  <c r="X98" i="1"/>
  <c r="W98" i="1"/>
  <c r="V98" i="1"/>
  <c r="U98" i="1"/>
  <c r="Y97" i="1"/>
  <c r="X97" i="1"/>
  <c r="W97" i="1"/>
  <c r="V97" i="1"/>
  <c r="U97" i="1"/>
  <c r="Y96" i="1"/>
  <c r="X96" i="1"/>
  <c r="W96" i="1"/>
  <c r="V96" i="1"/>
  <c r="U96" i="1"/>
  <c r="Y95" i="1"/>
  <c r="X95" i="1"/>
  <c r="W95" i="1"/>
  <c r="V95" i="1"/>
  <c r="U95" i="1"/>
  <c r="Y94" i="1"/>
  <c r="X94" i="1"/>
  <c r="W94" i="1"/>
  <c r="V94" i="1"/>
  <c r="U94" i="1"/>
  <c r="Y93" i="1"/>
  <c r="X93" i="1"/>
  <c r="W93" i="1"/>
  <c r="V93" i="1"/>
  <c r="U93" i="1"/>
  <c r="Y92" i="1"/>
  <c r="X92" i="1"/>
  <c r="W92" i="1"/>
  <c r="V92" i="1"/>
  <c r="U92" i="1"/>
  <c r="Y91" i="1"/>
  <c r="X91" i="1"/>
  <c r="W91" i="1"/>
  <c r="V91" i="1"/>
  <c r="U91" i="1"/>
  <c r="Y90" i="1"/>
  <c r="X90" i="1"/>
  <c r="W90" i="1"/>
  <c r="V90" i="1"/>
  <c r="U90" i="1"/>
  <c r="Y89" i="1"/>
  <c r="X89" i="1"/>
  <c r="W89" i="1"/>
  <c r="V89" i="1"/>
  <c r="U89" i="1"/>
  <c r="Y88" i="1"/>
  <c r="X88" i="1"/>
  <c r="W88" i="1"/>
  <c r="V88" i="1"/>
  <c r="U88" i="1"/>
  <c r="Y87" i="1"/>
  <c r="X87" i="1"/>
  <c r="W87" i="1"/>
  <c r="V87" i="1"/>
  <c r="U87" i="1"/>
  <c r="Y86" i="1"/>
  <c r="X86" i="1"/>
  <c r="W86" i="1"/>
  <c r="V86" i="1"/>
  <c r="U86" i="1"/>
  <c r="Y85" i="1"/>
  <c r="X85" i="1"/>
  <c r="W85" i="1"/>
  <c r="V85" i="1"/>
  <c r="U85" i="1"/>
  <c r="Y84" i="1"/>
  <c r="X84" i="1"/>
  <c r="W84" i="1"/>
  <c r="V84" i="1"/>
  <c r="U84" i="1"/>
  <c r="Y83" i="1"/>
  <c r="X83" i="1"/>
  <c r="W83" i="1"/>
  <c r="V83" i="1"/>
  <c r="U83" i="1"/>
  <c r="Y82" i="1"/>
  <c r="X82" i="1"/>
  <c r="W82" i="1"/>
  <c r="V82" i="1"/>
  <c r="U82" i="1"/>
  <c r="Y81" i="1"/>
  <c r="X81" i="1"/>
  <c r="W81" i="1"/>
  <c r="V81" i="1"/>
  <c r="U81" i="1"/>
  <c r="Y80" i="1"/>
  <c r="X80" i="1"/>
  <c r="W80" i="1"/>
  <c r="V80" i="1"/>
  <c r="U80" i="1"/>
  <c r="Y79" i="1"/>
  <c r="X79" i="1"/>
  <c r="W79" i="1"/>
  <c r="V79" i="1"/>
  <c r="U79" i="1"/>
  <c r="Y78" i="1"/>
  <c r="X78" i="1"/>
  <c r="W78" i="1"/>
  <c r="V78" i="1"/>
  <c r="U78" i="1"/>
  <c r="Y77" i="1"/>
  <c r="X77" i="1"/>
  <c r="W77" i="1"/>
  <c r="V77" i="1"/>
  <c r="U77" i="1"/>
  <c r="Y76" i="1"/>
  <c r="X76" i="1"/>
  <c r="W76" i="1"/>
  <c r="V76" i="1"/>
  <c r="U76" i="1"/>
  <c r="Y75" i="1"/>
  <c r="X75" i="1"/>
  <c r="W75" i="1"/>
  <c r="V75" i="1"/>
  <c r="U75" i="1"/>
  <c r="Y74" i="1"/>
  <c r="X74" i="1"/>
  <c r="W74" i="1"/>
  <c r="V74" i="1"/>
  <c r="U74" i="1"/>
  <c r="Y73" i="1"/>
  <c r="X73" i="1"/>
  <c r="W73" i="1"/>
  <c r="V73" i="1"/>
  <c r="U73" i="1"/>
  <c r="Y72" i="1"/>
  <c r="X72" i="1"/>
  <c r="W72" i="1"/>
  <c r="V72" i="1"/>
  <c r="U72" i="1"/>
  <c r="Y71" i="1"/>
  <c r="X71" i="1"/>
  <c r="W71" i="1"/>
  <c r="V71" i="1"/>
  <c r="U71" i="1"/>
  <c r="Y70" i="1"/>
  <c r="X70" i="1"/>
  <c r="W70" i="1"/>
  <c r="V70" i="1"/>
  <c r="U70" i="1"/>
  <c r="Y69" i="1"/>
  <c r="X69" i="1"/>
  <c r="W69" i="1"/>
  <c r="V69" i="1"/>
  <c r="U69" i="1"/>
  <c r="Y68" i="1"/>
  <c r="X68" i="1"/>
  <c r="W68" i="1"/>
  <c r="V68" i="1"/>
  <c r="U68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Y62" i="1"/>
  <c r="X62" i="1"/>
  <c r="W62" i="1"/>
  <c r="V62" i="1"/>
  <c r="U62" i="1"/>
  <c r="Y61" i="1"/>
  <c r="X61" i="1"/>
  <c r="W61" i="1"/>
  <c r="V61" i="1"/>
  <c r="U61" i="1"/>
  <c r="Y60" i="1"/>
  <c r="X60" i="1"/>
  <c r="W60" i="1"/>
  <c r="V60" i="1"/>
  <c r="U60" i="1"/>
  <c r="Y59" i="1"/>
  <c r="X59" i="1"/>
  <c r="W59" i="1"/>
  <c r="V59" i="1"/>
  <c r="U59" i="1"/>
  <c r="Y58" i="1"/>
  <c r="X58" i="1"/>
  <c r="W58" i="1"/>
  <c r="V58" i="1"/>
  <c r="U58" i="1"/>
  <c r="Y57" i="1"/>
  <c r="X57" i="1"/>
  <c r="W57" i="1"/>
  <c r="V57" i="1"/>
  <c r="U57" i="1"/>
  <c r="Y56" i="1"/>
  <c r="X56" i="1"/>
  <c r="W56" i="1"/>
  <c r="V56" i="1"/>
  <c r="U56" i="1"/>
  <c r="Y55" i="1"/>
  <c r="X55" i="1"/>
  <c r="W55" i="1"/>
  <c r="V55" i="1"/>
  <c r="U55" i="1"/>
  <c r="Y54" i="1"/>
  <c r="X54" i="1"/>
  <c r="W54" i="1"/>
  <c r="V54" i="1"/>
  <c r="U54" i="1"/>
  <c r="Y53" i="1"/>
  <c r="X53" i="1"/>
  <c r="W53" i="1"/>
  <c r="V53" i="1"/>
  <c r="U53" i="1"/>
  <c r="Y52" i="1"/>
  <c r="X52" i="1"/>
  <c r="W52" i="1"/>
  <c r="V52" i="1"/>
  <c r="U52" i="1"/>
  <c r="Y51" i="1"/>
  <c r="X51" i="1"/>
  <c r="W51" i="1"/>
  <c r="V51" i="1"/>
  <c r="U51" i="1"/>
  <c r="Y50" i="1"/>
  <c r="X50" i="1"/>
  <c r="W50" i="1"/>
  <c r="V50" i="1"/>
  <c r="U50" i="1"/>
  <c r="Y49" i="1"/>
  <c r="X49" i="1"/>
  <c r="W49" i="1"/>
  <c r="V49" i="1"/>
  <c r="U49" i="1"/>
  <c r="Y48" i="1"/>
  <c r="X48" i="1"/>
  <c r="W48" i="1"/>
  <c r="V48" i="1"/>
  <c r="U48" i="1"/>
  <c r="Y47" i="1"/>
  <c r="X47" i="1"/>
  <c r="W47" i="1"/>
  <c r="V47" i="1"/>
  <c r="U47" i="1"/>
  <c r="Y46" i="1"/>
  <c r="X46" i="1"/>
  <c r="W46" i="1"/>
  <c r="V46" i="1"/>
  <c r="U46" i="1"/>
  <c r="Y45" i="1"/>
  <c r="X45" i="1"/>
  <c r="W45" i="1"/>
  <c r="V45" i="1"/>
  <c r="U45" i="1"/>
  <c r="Y44" i="1"/>
  <c r="X44" i="1"/>
  <c r="W44" i="1"/>
  <c r="V44" i="1"/>
  <c r="U44" i="1"/>
  <c r="Y43" i="1"/>
  <c r="X43" i="1"/>
  <c r="W43" i="1"/>
  <c r="V43" i="1"/>
  <c r="U43" i="1"/>
  <c r="Y42" i="1"/>
  <c r="X42" i="1"/>
  <c r="W42" i="1"/>
  <c r="V42" i="1"/>
  <c r="U42" i="1"/>
  <c r="Y41" i="1"/>
  <c r="X41" i="1"/>
  <c r="W41" i="1"/>
  <c r="V41" i="1"/>
  <c r="U41" i="1"/>
  <c r="Y40" i="1"/>
  <c r="X40" i="1"/>
  <c r="W40" i="1"/>
  <c r="V40" i="1"/>
  <c r="U40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Y32" i="1"/>
  <c r="X32" i="1"/>
  <c r="W32" i="1"/>
  <c r="V32" i="1"/>
  <c r="U32" i="1"/>
  <c r="Y31" i="1"/>
  <c r="X31" i="1"/>
  <c r="W31" i="1"/>
  <c r="V31" i="1"/>
  <c r="U31" i="1"/>
  <c r="Y30" i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X19" i="1"/>
  <c r="W19" i="1"/>
  <c r="V19" i="1"/>
  <c r="U19" i="1"/>
  <c r="Y18" i="1"/>
  <c r="X18" i="1"/>
  <c r="W18" i="1"/>
  <c r="V18" i="1"/>
  <c r="U18" i="1"/>
  <c r="Y17" i="1"/>
  <c r="X17" i="1"/>
  <c r="W17" i="1"/>
  <c r="V17" i="1"/>
  <c r="U17" i="1"/>
  <c r="Y16" i="1"/>
  <c r="X16" i="1"/>
  <c r="W16" i="1"/>
  <c r="V16" i="1"/>
  <c r="U16" i="1"/>
  <c r="Y15" i="1"/>
  <c r="X15" i="1"/>
  <c r="W15" i="1"/>
  <c r="V15" i="1"/>
  <c r="U15" i="1"/>
  <c r="Y14" i="1"/>
  <c r="X14" i="1"/>
  <c r="W14" i="1"/>
  <c r="V14" i="1"/>
  <c r="U14" i="1"/>
  <c r="Y13" i="1"/>
  <c r="X13" i="1"/>
  <c r="W13" i="1"/>
  <c r="V13" i="1"/>
  <c r="U13" i="1"/>
  <c r="Y12" i="1"/>
  <c r="X12" i="1"/>
  <c r="W12" i="1"/>
  <c r="V12" i="1"/>
  <c r="U12" i="1"/>
  <c r="Y11" i="1"/>
  <c r="X11" i="1"/>
  <c r="W11" i="1"/>
  <c r="V11" i="1"/>
  <c r="U11" i="1"/>
  <c r="Y10" i="1"/>
  <c r="X10" i="1"/>
  <c r="W10" i="1"/>
  <c r="V10" i="1"/>
  <c r="U10" i="1"/>
  <c r="Y9" i="1"/>
  <c r="X9" i="1"/>
  <c r="W9" i="1"/>
  <c r="V9" i="1"/>
  <c r="U9" i="1"/>
  <c r="Y8" i="1"/>
  <c r="X8" i="1"/>
  <c r="W8" i="1"/>
  <c r="V8" i="1"/>
  <c r="U8" i="1"/>
  <c r="Y7" i="1"/>
  <c r="X7" i="1"/>
  <c r="W7" i="1"/>
  <c r="V7" i="1"/>
  <c r="U7" i="1"/>
  <c r="Y6" i="1"/>
  <c r="X6" i="1"/>
  <c r="W6" i="1"/>
  <c r="V6" i="1"/>
  <c r="U6" i="1"/>
  <c r="Y5" i="1"/>
  <c r="X5" i="1"/>
  <c r="W5" i="1"/>
  <c r="V5" i="1"/>
  <c r="U5" i="1"/>
  <c r="Y4" i="1"/>
  <c r="X4" i="1"/>
  <c r="W4" i="1"/>
  <c r="V4" i="1"/>
  <c r="U4" i="1"/>
  <c r="Y3" i="1"/>
  <c r="X3" i="1"/>
  <c r="W3" i="1"/>
  <c r="V3" i="1"/>
  <c r="U3" i="1"/>
  <c r="Y2" i="1"/>
  <c r="X2" i="1"/>
  <c r="W2" i="1"/>
  <c r="V2" i="1"/>
  <c r="U2" i="1"/>
  <c r="N7" i="2" l="1"/>
</calcChain>
</file>

<file path=xl/sharedStrings.xml><?xml version="1.0" encoding="utf-8"?>
<sst xmlns="http://schemas.openxmlformats.org/spreadsheetml/2006/main" count="347" uniqueCount="160">
  <si>
    <t>検証日</t>
  </si>
  <si>
    <t>モンスター名</t>
  </si>
  <si>
    <t>マップ</t>
  </si>
  <si>
    <t>構成</t>
  </si>
  <si>
    <t>検証分</t>
  </si>
  <si>
    <t>討伐数</t>
  </si>
  <si>
    <t>通常ドロップ名</t>
  </si>
  <si>
    <t>通常個数</t>
  </si>
  <si>
    <t>通常単価G</t>
  </si>
  <si>
    <t>レアドロップ名</t>
  </si>
  <si>
    <t>レア個数</t>
  </si>
  <si>
    <t>レア単価G</t>
  </si>
  <si>
    <t>魔因細胞</t>
  </si>
  <si>
    <t>魔因細胞単価G</t>
  </si>
  <si>
    <t>閃魔細胞</t>
  </si>
  <si>
    <t>閃魔細胞単価G</t>
  </si>
  <si>
    <t>魔因細胞のかけら</t>
  </si>
  <si>
    <t>かけら単価G</t>
  </si>
  <si>
    <t>閃魔細胞のかけら</t>
  </si>
  <si>
    <t>閃かけら単価G</t>
  </si>
  <si>
    <t>売上合計G</t>
  </si>
  <si>
    <t>時給換算G</t>
  </si>
  <si>
    <t>討伐/時</t>
  </si>
  <si>
    <t>通常/時</t>
  </si>
  <si>
    <t>レア/時</t>
  </si>
  <si>
    <t>狩りやすさ1-5</t>
  </si>
  <si>
    <t>湧き1-5</t>
  </si>
  <si>
    <t>アクセス1-5</t>
  </si>
  <si>
    <t>おすすめ度</t>
  </si>
  <si>
    <t>メモ</t>
  </si>
  <si>
    <t>グレイトドラゴン</t>
  </si>
  <si>
    <t>大きなこうら</t>
  </si>
  <si>
    <t>烈風石</t>
  </si>
  <si>
    <t>B</t>
  </si>
  <si>
    <t>硬い。10分時点では候補止まり</t>
  </si>
  <si>
    <t>大きな化石</t>
  </si>
  <si>
    <t>とこしえの虹</t>
  </si>
  <si>
    <t>S</t>
  </si>
  <si>
    <t>狩りやすい。30分検証候補</t>
  </si>
  <si>
    <t>実測ランキング</t>
  </si>
  <si>
    <t>順位</t>
  </si>
  <si>
    <t>検証サマリー</t>
  </si>
  <si>
    <t>※検証ログの「時給換算G」で降順ソートすると実測ランキングになります。下の表はメモ用です。</t>
  </si>
  <si>
    <t>検証件数</t>
  </si>
  <si>
    <t>最高時給G</t>
  </si>
  <si>
    <t>総検証時間(分)</t>
  </si>
  <si>
    <t>平均時給G</t>
  </si>
  <si>
    <t>通常合計</t>
  </si>
  <si>
    <t>レア合計</t>
  </si>
  <si>
    <t>細胞/かけら合計</t>
  </si>
  <si>
    <t>区分</t>
  </si>
  <si>
    <t>候補値</t>
  </si>
  <si>
    <t>説明</t>
  </si>
  <si>
    <t>備考</t>
  </si>
  <si>
    <t>構成候補</t>
  </si>
  <si>
    <t>スコア</t>
  </si>
  <si>
    <t>SS</t>
  </si>
  <si>
    <t>最有力。30分以上の追加検証対象</t>
  </si>
  <si>
    <t>基本構成</t>
  </si>
  <si>
    <t>かなり良い</t>
  </si>
  <si>
    <t>盗み特化。呼べない敵向け</t>
  </si>
  <si>
    <t>A</t>
  </si>
  <si>
    <t>候補としてあり</t>
  </si>
  <si>
    <t>自まも＋盗賊3</t>
  </si>
  <si>
    <t>回復不安だが盗み寄り</t>
  </si>
  <si>
    <t>微妙。条件次第</t>
  </si>
  <si>
    <t>自まも＋盗賊2＋レン</t>
  </si>
  <si>
    <t>ブレス/状態異常対策</t>
  </si>
  <si>
    <t>C</t>
  </si>
  <si>
    <t>非推奨</t>
  </si>
  <si>
    <t>その他</t>
  </si>
  <si>
    <t>自由入力</t>
  </si>
  <si>
    <t>除外</t>
  </si>
  <si>
    <t>金策対象外</t>
  </si>
  <si>
    <t>盗み金策 実測検証ブック</t>
  </si>
  <si>
    <t>使い方</t>
  </si>
  <si>
    <t>1</t>
  </si>
  <si>
    <t>検証ログに、同じパーティー構成・同じ条件で10分 or 30分の結果を入力します。</t>
  </si>
  <si>
    <t>2</t>
  </si>
  <si>
    <t>黄色系の列が主な入力欄です。価格はサイトの現在価格を見て手入力、または後でコピペ運用してください。</t>
  </si>
  <si>
    <t>3</t>
  </si>
  <si>
    <t>売上合計・時給換算・ドロップ/時は自動計算されます。</t>
  </si>
  <si>
    <t>4</t>
  </si>
  <si>
    <t>実測ランキングは検証ログから自動集計用の表です。まずはログを50〜100行くらい貯める想定です。</t>
  </si>
  <si>
    <t>5</t>
  </si>
  <si>
    <t>最初は上位50体を全部30分ではなく、上位20体を10分スクリーニング→良さそうな敵だけ30分がおすすめです。</t>
  </si>
  <si>
    <t>注意</t>
  </si>
  <si>
    <t>ランキングは実測ベースで育てる前提です。狩りやすさ・湧き・アクセスは5段階で主観入力してください。</t>
  </si>
  <si>
    <t>おすすめ構成</t>
  </si>
  <si>
    <t>自まも＋盗賊2＋旅。比較目的なら構成は固定してください。</t>
  </si>
  <si>
    <t>除外リストについて</t>
  </si>
  <si>
    <t>検証前から金策向きではないモンスターは「除外リスト」に登録します。</t>
  </si>
  <si>
    <t>使いどころ</t>
  </si>
  <si>
    <t>メタル系・宝箱系・転生・ボス系・出現数が少ない敵など、30分計測する価値が低い敵を先に外すためのシートです。</t>
  </si>
  <si>
    <t>おすすめ運用</t>
  </si>
  <si>
    <t>盗み金策ランキング上位50から、明らかに実用性が低い敵を除外リストへ入れてから、残った敵を10分→30分の順で検証してください。</t>
  </si>
  <si>
    <t>サイト反映</t>
  </si>
  <si>
    <t>サイト側の除外定数やCSVに反映したら「サイト除外に反映」を済にしてください。</t>
  </si>
  <si>
    <t>検証前に除外するモンスター一覧</t>
  </si>
  <si>
    <t>ここに「実践する前から金策向きではない」と分かるモンスターを登録します。サイト側の除外リスト候補としても使えます。</t>
  </si>
  <si>
    <t>除外理由</t>
  </si>
  <si>
    <t>分類</t>
  </si>
  <si>
    <t>除外レベル</t>
  </si>
  <si>
    <t>判定日</t>
  </si>
  <si>
    <t>確認者</t>
  </si>
  <si>
    <t>サイト除外に反映</t>
  </si>
  <si>
    <t>はぐれメタル</t>
  </si>
  <si>
    <t>出現数が極端に少なく、盗み金策として再現性が低い</t>
  </si>
  <si>
    <t>メタル系</t>
  </si>
  <si>
    <t>2026-06-20</t>
  </si>
  <si>
    <t>もんち</t>
  </si>
  <si>
    <t>済</t>
  </si>
  <si>
    <t>異常値</t>
  </si>
  <si>
    <t>メタルキング</t>
  </si>
  <si>
    <t>出現数が極端に少なく、通常金策対象ではない</t>
  </si>
  <si>
    <t>ミミック・強</t>
  </si>
  <si>
    <t>宝箱系で安定して狩る対象ではない</t>
  </si>
  <si>
    <t>宝箱系</t>
  </si>
  <si>
    <t>エンペラーレグホン</t>
  </si>
  <si>
    <t>ダークパラディン</t>
  </si>
  <si>
    <t>キースドラゴン</t>
  </si>
  <si>
    <t>ダースドラゴン</t>
  </si>
  <si>
    <t>クラ―ゴン</t>
  </si>
  <si>
    <t>スピンサタン</t>
  </si>
  <si>
    <t>大王イカ</t>
  </si>
  <si>
    <t>大王イカ・塔</t>
  </si>
  <si>
    <t>ドリアンデッド</t>
  </si>
  <si>
    <t>ダークトロル</t>
  </si>
  <si>
    <t>闇のキリンジ</t>
  </si>
  <si>
    <t>ギガンテス・強</t>
  </si>
  <si>
    <t>メタルブラザーズ</t>
  </si>
  <si>
    <t>ブラックドラゴン</t>
  </si>
  <si>
    <t>hp高い</t>
    <rPh sb="2" eb="3">
      <t>タカ</t>
    </rPh>
    <phoneticPr fontId="10"/>
  </si>
  <si>
    <t>硬すぎる</t>
  </si>
  <si>
    <t>ジア・デーモン</t>
  </si>
  <si>
    <t>てっこうまじん・祖</t>
  </si>
  <si>
    <t>グリーンボーン</t>
  </si>
  <si>
    <t>メタルスライム</t>
  </si>
  <si>
    <t>てんとうスカラベ</t>
  </si>
  <si>
    <t>デスマドモアゼル</t>
    <phoneticPr fontId="10"/>
  </si>
  <si>
    <t>ごうけつぐま</t>
    <phoneticPr fontId="10"/>
  </si>
  <si>
    <t>わかめ王子・強</t>
    <rPh sb="3" eb="5">
      <t>オウジ</t>
    </rPh>
    <rPh sb="6" eb="7">
      <t>キョウ</t>
    </rPh>
    <phoneticPr fontId="10"/>
  </si>
  <si>
    <t>ワニバーン</t>
    <phoneticPr fontId="10"/>
  </si>
  <si>
    <t>ミーラカンス</t>
    <phoneticPr fontId="10"/>
  </si>
  <si>
    <t>むくろカサゴ</t>
    <phoneticPr fontId="10"/>
  </si>
  <si>
    <t>コットンキャンディ</t>
    <phoneticPr fontId="10"/>
  </si>
  <si>
    <t>にじくじゃく</t>
    <phoneticPr fontId="10"/>
  </si>
  <si>
    <t>死のさそり</t>
    <rPh sb="0" eb="1">
      <t>シ</t>
    </rPh>
    <phoneticPr fontId="10"/>
  </si>
  <si>
    <t>神代の遺構｜ムニエカ・隠し通路</t>
  </si>
  <si>
    <t>オルセコ王国領｜バルディア山岳地帯｜ザハディガル岩峰</t>
  </si>
  <si>
    <t>血潮の浜辺｜閉ざされた水路｜ジャリムバハ砂漠</t>
  </si>
  <si>
    <t>オーフィーヌ海底｜ナドラガンドの混沌</t>
  </si>
  <si>
    <t>キュロン湿原</t>
  </si>
  <si>
    <t>歌姫の絶望</t>
  </si>
  <si>
    <t>神具解放の審問宮1｜神具解放の審問宮2｜神具解放の審問宮3</t>
  </si>
  <si>
    <t>古・ティプローネ高地｜現・ティプローネ高地｜輝きの草原</t>
  </si>
  <si>
    <t>試みの荒野｜三闘士の憤怒</t>
  </si>
  <si>
    <t>自まも＋レン2＋盗賊</t>
    <rPh sb="8" eb="10">
      <t>トウゾク</t>
    </rPh>
    <phoneticPr fontId="10"/>
  </si>
  <si>
    <t>自まも＋レン＋盗賊2</t>
    <rPh sb="7" eb="9">
      <t>トウゾク</t>
    </rPh>
    <phoneticPr fontId="10"/>
  </si>
  <si>
    <t>hjp2900以上モンスター。</t>
    <rPh sb="7" eb="9">
      <t>イジョウ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</si>
</sst>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&quot; G&quot;"/>
  </numFmts>
  <fonts count="1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2B1A10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B91C1C"/>
      <name val="Carlito"/>
    </font>
    <font>
      <b/>
      <sz val="14"/>
      <color rgb="FFFFFFFF"/>
      <name val="Carlito"/>
    </font>
    <font>
      <sz val="11"/>
      <color rgb="FF5B371E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2"/>
      <color rgb="FF2F2419"/>
      <name val="Segoe UI"/>
      <family val="2"/>
    </font>
    <font>
      <sz val="11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5B341E"/>
      </patternFill>
    </fill>
    <fill>
      <patternFill patternType="solid">
        <fgColor rgb="FFD9B98C"/>
      </patternFill>
    </fill>
    <fill>
      <patternFill patternType="solid">
        <fgColor rgb="FFFFF7E6"/>
      </patternFill>
    </fill>
    <fill>
      <patternFill patternType="solid">
        <fgColor rgb="FFE8F4EA"/>
      </patternFill>
    </fill>
    <fill>
      <patternFill patternType="solid">
        <fgColor rgb="FF5B371E"/>
      </patternFill>
    </fill>
    <fill>
      <patternFill patternType="solid">
        <fgColor rgb="FFF7E7C6"/>
      </patternFill>
    </fill>
    <fill>
      <patternFill patternType="solid">
        <fgColor rgb="FFB887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0" fillId="0" borderId="0" xfId="1" applyFont="1" applyAlignment="1">
      <alignment wrapText="1"/>
    </xf>
    <xf numFmtId="176" fontId="1" fillId="2" borderId="0" xfId="1" applyNumberFormat="1" applyFont="1" applyFill="1" applyAlignment="1">
      <alignment horizontal="center" vertical="center" wrapText="1"/>
    </xf>
    <xf numFmtId="177" fontId="1" fillId="2" borderId="0" xfId="1" applyNumberFormat="1" applyFont="1" applyFill="1" applyAlignment="1">
      <alignment horizontal="center" vertical="center" wrapText="1"/>
    </xf>
    <xf numFmtId="1" fontId="1" fillId="2" borderId="0" xfId="1" applyNumberFormat="1" applyFont="1" applyFill="1" applyAlignment="1">
      <alignment horizontal="center" vertical="center" wrapText="1"/>
    </xf>
    <xf numFmtId="0" fontId="0" fillId="4" borderId="0" xfId="1" applyFont="1" applyFill="1"/>
    <xf numFmtId="0" fontId="0" fillId="5" borderId="0" xfId="1" applyFont="1" applyFill="1"/>
    <xf numFmtId="0" fontId="0" fillId="4" borderId="0" xfId="1" applyFont="1" applyFill="1" applyAlignment="1">
      <alignment wrapText="1"/>
    </xf>
    <xf numFmtId="3" fontId="0" fillId="4" borderId="0" xfId="1" applyNumberFormat="1" applyFont="1" applyFill="1" applyAlignment="1">
      <alignment wrapText="1"/>
    </xf>
    <xf numFmtId="177" fontId="0" fillId="4" borderId="0" xfId="1" applyNumberFormat="1" applyFont="1" applyFill="1" applyAlignment="1">
      <alignment wrapText="1"/>
    </xf>
    <xf numFmtId="0" fontId="1" fillId="8" borderId="0" xfId="1" applyFont="1" applyFill="1"/>
    <xf numFmtId="0" fontId="1" fillId="8" borderId="0" xfId="1" applyFont="1" applyFill="1" applyAlignment="1">
      <alignment horizontal="center"/>
    </xf>
    <xf numFmtId="0" fontId="1" fillId="8" borderId="0" xfId="1" applyFont="1" applyFill="1" applyAlignment="1">
      <alignment wrapText="1"/>
    </xf>
    <xf numFmtId="0" fontId="11" fillId="0" borderId="0" xfId="0" applyFont="1" applyAlignment="1">
      <alignment vertical="center" wrapText="1"/>
    </xf>
    <xf numFmtId="0" fontId="7" fillId="6" borderId="0" xfId="1" applyFont="1" applyFill="1" applyAlignment="1">
      <alignment horizontal="center" vertical="center"/>
    </xf>
    <xf numFmtId="0" fontId="0" fillId="0" borderId="0" xfId="0"/>
    <xf numFmtId="0" fontId="8" fillId="7" borderId="0" xfId="1" applyFont="1" applyFill="1" applyAlignment="1">
      <alignment wrapText="1"/>
    </xf>
    <xf numFmtId="0" fontId="5" fillId="2" borderId="0" xfId="1" applyFont="1" applyFill="1" applyAlignment="1">
      <alignment horizontal="center"/>
    </xf>
    <xf numFmtId="177" fontId="0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/>
    </xf>
    <xf numFmtId="0" fontId="12" fillId="4" borderId="0" xfId="1" applyFont="1" applyFill="1"/>
    <xf numFmtId="14" fontId="0" fillId="4" borderId="0" xfId="1" applyNumberFormat="1" applyFont="1" applyFill="1"/>
    <xf numFmtId="0" fontId="0" fillId="0" borderId="0" xfId="0" applyAlignment="1">
      <alignment vertical="center"/>
    </xf>
    <xf numFmtId="0" fontId="12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Log" displayName="ValidationLog" ref="A1:AD301">
  <tableColumns count="30">
    <tableColumn id="1" xr3:uid="{00000000-0010-0000-0000-000001000000}" name="検証日"/>
    <tableColumn id="2" xr3:uid="{00000000-0010-0000-0000-000002000000}" name="モンスター名"/>
    <tableColumn id="3" xr3:uid="{00000000-0010-0000-0000-000003000000}" name="マップ"/>
    <tableColumn id="4" xr3:uid="{00000000-0010-0000-0000-000004000000}" name="構成"/>
    <tableColumn id="5" xr3:uid="{00000000-0010-0000-0000-000005000000}" name="検証分"/>
    <tableColumn id="6" xr3:uid="{00000000-0010-0000-0000-000006000000}" name="討伐数"/>
    <tableColumn id="7" xr3:uid="{00000000-0010-0000-0000-000007000000}" name="通常ドロップ名"/>
    <tableColumn id="8" xr3:uid="{00000000-0010-0000-0000-000008000000}" name="通常個数"/>
    <tableColumn id="9" xr3:uid="{00000000-0010-0000-0000-000009000000}" name="通常単価G"/>
    <tableColumn id="10" xr3:uid="{00000000-0010-0000-0000-00000A000000}" name="レアドロップ名"/>
    <tableColumn id="11" xr3:uid="{00000000-0010-0000-0000-00000B000000}" name="レア個数"/>
    <tableColumn id="12" xr3:uid="{00000000-0010-0000-0000-00000C000000}" name="レア単価G"/>
    <tableColumn id="13" xr3:uid="{00000000-0010-0000-0000-00000D000000}" name="魔因細胞"/>
    <tableColumn id="14" xr3:uid="{00000000-0010-0000-0000-00000E000000}" name="魔因細胞単価G"/>
    <tableColumn id="15" xr3:uid="{00000000-0010-0000-0000-00000F000000}" name="閃魔細胞"/>
    <tableColumn id="16" xr3:uid="{00000000-0010-0000-0000-000010000000}" name="閃魔細胞単価G"/>
    <tableColumn id="17" xr3:uid="{00000000-0010-0000-0000-000011000000}" name="魔因細胞のかけら"/>
    <tableColumn id="18" xr3:uid="{00000000-0010-0000-0000-000012000000}" name="かけら単価G"/>
    <tableColumn id="19" xr3:uid="{00000000-0010-0000-0000-000013000000}" name="閃魔細胞のかけら"/>
    <tableColumn id="20" xr3:uid="{00000000-0010-0000-0000-000014000000}" name="閃かけら単価G"/>
    <tableColumn id="21" xr3:uid="{00000000-0010-0000-0000-000015000000}" name="売上合計G"/>
    <tableColumn id="22" xr3:uid="{00000000-0010-0000-0000-000016000000}" name="時給換算G"/>
    <tableColumn id="23" xr3:uid="{00000000-0010-0000-0000-000017000000}" name="討伐/時"/>
    <tableColumn id="24" xr3:uid="{00000000-0010-0000-0000-000018000000}" name="通常/時"/>
    <tableColumn id="25" xr3:uid="{00000000-0010-0000-0000-000019000000}" name="レア/時"/>
    <tableColumn id="26" xr3:uid="{00000000-0010-0000-0000-00001A000000}" name="狩りやすさ1-5"/>
    <tableColumn id="27" xr3:uid="{00000000-0010-0000-0000-00001B000000}" name="湧き1-5"/>
    <tableColumn id="28" xr3:uid="{00000000-0010-0000-0000-00001C000000}" name="アクセス1-5"/>
    <tableColumn id="29" xr3:uid="{00000000-0010-0000-0000-00001D000000}" name="おすすめ度"/>
    <tableColumn id="30" xr3:uid="{00000000-0010-0000-0000-00001E000000}" name="メ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cludeTable" displayName="ExcludeTable" ref="A4:H100">
  <tableColumns count="8">
    <tableColumn id="1" xr3:uid="{00000000-0010-0000-0100-000001000000}" name="モンスター名"/>
    <tableColumn id="2" xr3:uid="{00000000-0010-0000-0100-000002000000}" name="除外理由"/>
    <tableColumn id="3" xr3:uid="{00000000-0010-0000-0100-000003000000}" name="分類"/>
    <tableColumn id="4" xr3:uid="{00000000-0010-0000-0100-000004000000}" name="除外レベル"/>
    <tableColumn id="5" xr3:uid="{00000000-0010-0000-0100-000005000000}" name="判定日"/>
    <tableColumn id="6" xr3:uid="{00000000-0010-0000-0100-000006000000}" name="確認者"/>
    <tableColumn id="7" xr3:uid="{00000000-0010-0000-0100-000007000000}" name="サイト除外に反映"/>
    <tableColumn id="8" xr3:uid="{00000000-0010-0000-0100-000008000000}" name="メ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1"/>
  <sheetViews>
    <sheetView tabSelected="1" workbookViewId="0">
      <selection activeCell="B10" sqref="B10"/>
    </sheetView>
  </sheetViews>
  <sheetFormatPr defaultRowHeight="14.25"/>
  <cols>
    <col min="1" max="1" width="12" customWidth="1"/>
    <col min="2" max="2" width="18" customWidth="1"/>
    <col min="3" max="3" width="61.625" bestFit="1" customWidth="1"/>
    <col min="4" max="4" width="20" customWidth="1"/>
    <col min="5" max="6" width="10" customWidth="1"/>
    <col min="7" max="7" width="18" customWidth="1"/>
    <col min="8" max="9" width="12" customWidth="1"/>
    <col min="10" max="10" width="18" customWidth="1"/>
    <col min="11" max="12" width="12" customWidth="1"/>
    <col min="13" max="22" width="14" customWidth="1"/>
    <col min="23" max="25" width="12" customWidth="1"/>
    <col min="26" max="28" width="11" customWidth="1"/>
    <col min="29" max="29" width="12" customWidth="1"/>
    <col min="30" max="30" width="36" customWidth="1"/>
  </cols>
  <sheetData>
    <row r="1" spans="1:30" ht="30">
      <c r="A1" s="5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1" t="s">
        <v>6</v>
      </c>
      <c r="H1" s="7" t="s">
        <v>7</v>
      </c>
      <c r="I1" s="6" t="s">
        <v>8</v>
      </c>
      <c r="J1" s="1" t="s">
        <v>9</v>
      </c>
      <c r="K1" s="7" t="s">
        <v>10</v>
      </c>
      <c r="L1" s="6" t="s">
        <v>11</v>
      </c>
      <c r="M1" s="7" t="s">
        <v>12</v>
      </c>
      <c r="N1" s="6" t="s">
        <v>13</v>
      </c>
      <c r="O1" s="7" t="s">
        <v>14</v>
      </c>
      <c r="P1" s="6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" t="s">
        <v>28</v>
      </c>
      <c r="AD1" s="1" t="s">
        <v>29</v>
      </c>
    </row>
    <row r="2" spans="1:30">
      <c r="A2" s="27">
        <v>46193</v>
      </c>
      <c r="B2" s="8" t="s">
        <v>139</v>
      </c>
      <c r="C2" s="28" t="s">
        <v>148</v>
      </c>
      <c r="D2" s="8" t="s">
        <v>157</v>
      </c>
      <c r="E2" s="8">
        <v>10</v>
      </c>
      <c r="F2" s="8">
        <v>18</v>
      </c>
      <c r="G2" s="8" t="s">
        <v>31</v>
      </c>
      <c r="H2" s="8">
        <v>3</v>
      </c>
      <c r="I2" s="8">
        <v>2000</v>
      </c>
      <c r="J2" s="8" t="s">
        <v>32</v>
      </c>
      <c r="K2" s="8">
        <v>0</v>
      </c>
      <c r="L2" s="8">
        <v>12000</v>
      </c>
      <c r="M2" s="8">
        <v>0</v>
      </c>
      <c r="N2" s="8">
        <v>99000</v>
      </c>
      <c r="O2" s="8">
        <v>0</v>
      </c>
      <c r="P2" s="8">
        <v>19000</v>
      </c>
      <c r="Q2" s="8">
        <v>1</v>
      </c>
      <c r="R2" s="8">
        <v>4875</v>
      </c>
      <c r="S2" s="8">
        <v>0</v>
      </c>
      <c r="T2" s="8">
        <v>1000</v>
      </c>
      <c r="U2" s="9">
        <f t="shared" ref="U2:U65" si="0">H2*I2+K2*L2+M2*N2+O2*P2+Q2*R2+S2*T2</f>
        <v>10875</v>
      </c>
      <c r="V2" s="9">
        <f t="shared" ref="V2:V65" si="1">IF(E2&gt;0,U2/E2*60,0)</f>
        <v>65250</v>
      </c>
      <c r="W2" s="9">
        <f t="shared" ref="W2:W65" si="2">IF(E2&gt;0,F2/E2*60,0)</f>
        <v>108</v>
      </c>
      <c r="X2" s="9">
        <f t="shared" ref="X2:X65" si="3">IF(E2&gt;0,H2/E2*60,0)</f>
        <v>18</v>
      </c>
      <c r="Y2" s="9">
        <f t="shared" ref="Y2:Y65" si="4">IF(E2&gt;0,K2/E2*60,0)</f>
        <v>0</v>
      </c>
      <c r="Z2" s="8">
        <v>2</v>
      </c>
      <c r="AA2" s="8">
        <v>2</v>
      </c>
      <c r="AB2" s="8">
        <v>3</v>
      </c>
      <c r="AC2" s="8" t="s">
        <v>33</v>
      </c>
      <c r="AD2" s="8" t="s">
        <v>34</v>
      </c>
    </row>
    <row r="3" spans="1:30">
      <c r="A3" s="27">
        <v>46193</v>
      </c>
      <c r="B3" s="26" t="s">
        <v>140</v>
      </c>
      <c r="C3" s="28" t="s">
        <v>149</v>
      </c>
      <c r="D3" s="8" t="s">
        <v>158</v>
      </c>
      <c r="E3" s="8">
        <v>10</v>
      </c>
      <c r="F3" s="8">
        <v>42</v>
      </c>
      <c r="G3" s="8" t="s">
        <v>35</v>
      </c>
      <c r="H3" s="8">
        <v>10</v>
      </c>
      <c r="I3" s="8">
        <v>948</v>
      </c>
      <c r="J3" s="8" t="s">
        <v>36</v>
      </c>
      <c r="K3" s="8">
        <v>1</v>
      </c>
      <c r="L3" s="8">
        <v>14000</v>
      </c>
      <c r="M3" s="8">
        <v>0</v>
      </c>
      <c r="N3" s="8">
        <v>99000</v>
      </c>
      <c r="O3" s="8">
        <v>0</v>
      </c>
      <c r="P3" s="8">
        <v>19000</v>
      </c>
      <c r="Q3" s="8">
        <v>2</v>
      </c>
      <c r="R3" s="8">
        <v>4875</v>
      </c>
      <c r="S3" s="8">
        <v>0</v>
      </c>
      <c r="T3" s="8">
        <v>1000</v>
      </c>
      <c r="U3" s="9">
        <f t="shared" si="0"/>
        <v>33230</v>
      </c>
      <c r="V3" s="9">
        <f t="shared" si="1"/>
        <v>199380</v>
      </c>
      <c r="W3" s="9">
        <f t="shared" si="2"/>
        <v>252</v>
      </c>
      <c r="X3" s="9">
        <f t="shared" si="3"/>
        <v>60</v>
      </c>
      <c r="Y3" s="9">
        <f t="shared" si="4"/>
        <v>6</v>
      </c>
      <c r="Z3" s="8">
        <v>4</v>
      </c>
      <c r="AA3" s="8">
        <v>4</v>
      </c>
      <c r="AB3" s="8">
        <v>4</v>
      </c>
      <c r="AC3" s="8" t="s">
        <v>37</v>
      </c>
      <c r="AD3" s="8" t="s">
        <v>38</v>
      </c>
    </row>
    <row r="4" spans="1:30">
      <c r="A4" s="27">
        <v>46193</v>
      </c>
      <c r="B4" s="8" t="s">
        <v>141</v>
      </c>
      <c r="C4" s="28" t="s">
        <v>150</v>
      </c>
      <c r="D4" s="8" t="s">
        <v>157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>
        <f t="shared" si="0"/>
        <v>0</v>
      </c>
      <c r="V4" s="9">
        <f t="shared" si="1"/>
        <v>0</v>
      </c>
      <c r="W4" s="9">
        <f t="shared" si="2"/>
        <v>0</v>
      </c>
      <c r="X4" s="9">
        <f t="shared" si="3"/>
        <v>0</v>
      </c>
      <c r="Y4" s="9">
        <f t="shared" si="4"/>
        <v>0</v>
      </c>
      <c r="Z4" s="8"/>
      <c r="AA4" s="8"/>
      <c r="AB4" s="8"/>
      <c r="AC4" s="8"/>
      <c r="AD4" s="8"/>
    </row>
    <row r="5" spans="1:30">
      <c r="A5" s="27">
        <v>46193</v>
      </c>
      <c r="B5" s="8" t="s">
        <v>142</v>
      </c>
      <c r="C5" s="28" t="s">
        <v>151</v>
      </c>
      <c r="D5" s="8" t="s">
        <v>158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>
        <f t="shared" si="0"/>
        <v>0</v>
      </c>
      <c r="V5" s="9">
        <f t="shared" si="1"/>
        <v>0</v>
      </c>
      <c r="W5" s="9">
        <f t="shared" si="2"/>
        <v>0</v>
      </c>
      <c r="X5" s="9">
        <f t="shared" si="3"/>
        <v>0</v>
      </c>
      <c r="Y5" s="9">
        <f t="shared" si="4"/>
        <v>0</v>
      </c>
      <c r="Z5" s="8"/>
      <c r="AA5" s="8"/>
      <c r="AB5" s="8"/>
      <c r="AC5" s="8"/>
      <c r="AD5" s="8"/>
    </row>
    <row r="6" spans="1:30">
      <c r="A6" s="27">
        <v>46193</v>
      </c>
      <c r="B6" s="8" t="s">
        <v>143</v>
      </c>
      <c r="C6" s="28" t="s">
        <v>152</v>
      </c>
      <c r="D6" s="8" t="s">
        <v>157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>
        <f t="shared" si="0"/>
        <v>0</v>
      </c>
      <c r="V6" s="9">
        <f t="shared" si="1"/>
        <v>0</v>
      </c>
      <c r="W6" s="9">
        <f t="shared" si="2"/>
        <v>0</v>
      </c>
      <c r="X6" s="9">
        <f t="shared" si="3"/>
        <v>0</v>
      </c>
      <c r="Y6" s="9">
        <f t="shared" si="4"/>
        <v>0</v>
      </c>
      <c r="Z6" s="8"/>
      <c r="AA6" s="8"/>
      <c r="AB6" s="8"/>
      <c r="AC6" s="8"/>
      <c r="AD6" s="8"/>
    </row>
    <row r="7" spans="1:30">
      <c r="A7" s="27">
        <v>46193</v>
      </c>
      <c r="B7" s="8" t="s">
        <v>144</v>
      </c>
      <c r="C7" s="28" t="s">
        <v>153</v>
      </c>
      <c r="D7" s="8" t="s">
        <v>157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>
        <f t="shared" si="0"/>
        <v>0</v>
      </c>
      <c r="V7" s="9">
        <f t="shared" si="1"/>
        <v>0</v>
      </c>
      <c r="W7" s="9">
        <f t="shared" si="2"/>
        <v>0</v>
      </c>
      <c r="X7" s="9">
        <f t="shared" si="3"/>
        <v>0</v>
      </c>
      <c r="Y7" s="9">
        <f t="shared" si="4"/>
        <v>0</v>
      </c>
      <c r="Z7" s="8"/>
      <c r="AA7" s="8"/>
      <c r="AB7" s="8"/>
      <c r="AC7" s="8"/>
      <c r="AD7" s="8"/>
    </row>
    <row r="8" spans="1:30">
      <c r="A8" s="27">
        <v>46193</v>
      </c>
      <c r="B8" s="8" t="s">
        <v>145</v>
      </c>
      <c r="C8" s="28" t="s">
        <v>154</v>
      </c>
      <c r="D8" s="8" t="s">
        <v>158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>
        <f t="shared" si="0"/>
        <v>0</v>
      </c>
      <c r="V8" s="9">
        <f t="shared" si="1"/>
        <v>0</v>
      </c>
      <c r="W8" s="9">
        <f t="shared" si="2"/>
        <v>0</v>
      </c>
      <c r="X8" s="9">
        <f t="shared" si="3"/>
        <v>0</v>
      </c>
      <c r="Y8" s="9">
        <f t="shared" si="4"/>
        <v>0</v>
      </c>
      <c r="Z8" s="8"/>
      <c r="AA8" s="8"/>
      <c r="AB8" s="8"/>
      <c r="AC8" s="8"/>
      <c r="AD8" s="8"/>
    </row>
    <row r="9" spans="1:30">
      <c r="A9" s="27">
        <v>46193</v>
      </c>
      <c r="B9" s="8" t="s">
        <v>146</v>
      </c>
      <c r="C9" s="28" t="s">
        <v>155</v>
      </c>
      <c r="D9" s="8" t="s">
        <v>158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>
        <f t="shared" si="0"/>
        <v>0</v>
      </c>
      <c r="V9" s="9">
        <f t="shared" si="1"/>
        <v>0</v>
      </c>
      <c r="W9" s="9">
        <f t="shared" si="2"/>
        <v>0</v>
      </c>
      <c r="X9" s="9">
        <f t="shared" si="3"/>
        <v>0</v>
      </c>
      <c r="Y9" s="9">
        <f t="shared" si="4"/>
        <v>0</v>
      </c>
      <c r="Z9" s="8"/>
      <c r="AA9" s="8"/>
      <c r="AB9" s="8"/>
      <c r="AC9" s="8"/>
      <c r="AD9" s="8"/>
    </row>
    <row r="10" spans="1:30">
      <c r="A10" s="27">
        <v>46193</v>
      </c>
      <c r="B10" s="8" t="s">
        <v>147</v>
      </c>
      <c r="C10" s="28" t="s">
        <v>156</v>
      </c>
      <c r="D10" s="8" t="s">
        <v>158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>
        <f t="shared" si="0"/>
        <v>0</v>
      </c>
      <c r="V10" s="9">
        <f t="shared" si="1"/>
        <v>0</v>
      </c>
      <c r="W10" s="9">
        <f t="shared" si="2"/>
        <v>0</v>
      </c>
      <c r="X10" s="9">
        <f t="shared" si="3"/>
        <v>0</v>
      </c>
      <c r="Y10" s="9">
        <f t="shared" si="4"/>
        <v>0</v>
      </c>
      <c r="Z10" s="8"/>
      <c r="AA10" s="8"/>
      <c r="AB10" s="8"/>
      <c r="AC10" s="8"/>
      <c r="AD10" s="8"/>
    </row>
    <row r="11" spans="1:3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>
        <f t="shared" si="0"/>
        <v>0</v>
      </c>
      <c r="V11" s="9">
        <f t="shared" si="1"/>
        <v>0</v>
      </c>
      <c r="W11" s="9">
        <f t="shared" si="2"/>
        <v>0</v>
      </c>
      <c r="X11" s="9">
        <f t="shared" si="3"/>
        <v>0</v>
      </c>
      <c r="Y11" s="9">
        <f t="shared" si="4"/>
        <v>0</v>
      </c>
      <c r="Z11" s="8"/>
      <c r="AA11" s="8"/>
      <c r="AB11" s="8"/>
      <c r="AC11" s="8"/>
      <c r="AD11" s="8"/>
    </row>
    <row r="12" spans="1:3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>
        <f t="shared" si="0"/>
        <v>0</v>
      </c>
      <c r="V12" s="9">
        <f t="shared" si="1"/>
        <v>0</v>
      </c>
      <c r="W12" s="9">
        <f t="shared" si="2"/>
        <v>0</v>
      </c>
      <c r="X12" s="9">
        <f t="shared" si="3"/>
        <v>0</v>
      </c>
      <c r="Y12" s="9">
        <f t="shared" si="4"/>
        <v>0</v>
      </c>
      <c r="Z12" s="8"/>
      <c r="AA12" s="8"/>
      <c r="AB12" s="8"/>
      <c r="AC12" s="8"/>
      <c r="AD12" s="8"/>
    </row>
    <row r="13" spans="1:3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>
        <f t="shared" si="0"/>
        <v>0</v>
      </c>
      <c r="V13" s="9">
        <f t="shared" si="1"/>
        <v>0</v>
      </c>
      <c r="W13" s="9">
        <f t="shared" si="2"/>
        <v>0</v>
      </c>
      <c r="X13" s="9">
        <f t="shared" si="3"/>
        <v>0</v>
      </c>
      <c r="Y13" s="9">
        <f t="shared" si="4"/>
        <v>0</v>
      </c>
      <c r="Z13" s="8"/>
      <c r="AA13" s="8"/>
      <c r="AB13" s="8"/>
      <c r="AC13" s="8"/>
      <c r="AD13" s="8"/>
    </row>
    <row r="14" spans="1:3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>
        <f t="shared" si="0"/>
        <v>0</v>
      </c>
      <c r="V14" s="9">
        <f t="shared" si="1"/>
        <v>0</v>
      </c>
      <c r="W14" s="9">
        <f t="shared" si="2"/>
        <v>0</v>
      </c>
      <c r="X14" s="9">
        <f t="shared" si="3"/>
        <v>0</v>
      </c>
      <c r="Y14" s="9">
        <f t="shared" si="4"/>
        <v>0</v>
      </c>
      <c r="Z14" s="8"/>
      <c r="AA14" s="8"/>
      <c r="AB14" s="8"/>
      <c r="AC14" s="8"/>
      <c r="AD14" s="8"/>
    </row>
    <row r="15" spans="1:3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>
        <f t="shared" si="0"/>
        <v>0</v>
      </c>
      <c r="V15" s="9">
        <f t="shared" si="1"/>
        <v>0</v>
      </c>
      <c r="W15" s="9">
        <f t="shared" si="2"/>
        <v>0</v>
      </c>
      <c r="X15" s="9">
        <f t="shared" si="3"/>
        <v>0</v>
      </c>
      <c r="Y15" s="9">
        <f t="shared" si="4"/>
        <v>0</v>
      </c>
      <c r="Z15" s="8"/>
      <c r="AA15" s="8"/>
      <c r="AB15" s="8"/>
      <c r="AC15" s="8"/>
      <c r="AD15" s="8"/>
    </row>
    <row r="16" spans="1:3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>
        <f t="shared" si="0"/>
        <v>0</v>
      </c>
      <c r="V16" s="9">
        <f t="shared" si="1"/>
        <v>0</v>
      </c>
      <c r="W16" s="9">
        <f t="shared" si="2"/>
        <v>0</v>
      </c>
      <c r="X16" s="9">
        <f t="shared" si="3"/>
        <v>0</v>
      </c>
      <c r="Y16" s="9">
        <f t="shared" si="4"/>
        <v>0</v>
      </c>
      <c r="Z16" s="8"/>
      <c r="AA16" s="8"/>
      <c r="AB16" s="8"/>
      <c r="AC16" s="8"/>
      <c r="AD16" s="8"/>
    </row>
    <row r="17" spans="1:30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>
        <f t="shared" si="0"/>
        <v>0</v>
      </c>
      <c r="V17" s="9">
        <f t="shared" si="1"/>
        <v>0</v>
      </c>
      <c r="W17" s="9">
        <f t="shared" si="2"/>
        <v>0</v>
      </c>
      <c r="X17" s="9">
        <f t="shared" si="3"/>
        <v>0</v>
      </c>
      <c r="Y17" s="9">
        <f t="shared" si="4"/>
        <v>0</v>
      </c>
      <c r="Z17" s="8"/>
      <c r="AA17" s="8"/>
      <c r="AB17" s="8"/>
      <c r="AC17" s="8"/>
      <c r="AD17" s="8"/>
    </row>
    <row r="18" spans="1:3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>
        <f t="shared" si="0"/>
        <v>0</v>
      </c>
      <c r="V18" s="9">
        <f t="shared" si="1"/>
        <v>0</v>
      </c>
      <c r="W18" s="9">
        <f t="shared" si="2"/>
        <v>0</v>
      </c>
      <c r="X18" s="9">
        <f t="shared" si="3"/>
        <v>0</v>
      </c>
      <c r="Y18" s="9">
        <f t="shared" si="4"/>
        <v>0</v>
      </c>
      <c r="Z18" s="8"/>
      <c r="AA18" s="8"/>
      <c r="AB18" s="8"/>
      <c r="AC18" s="8"/>
      <c r="AD18" s="8"/>
    </row>
    <row r="19" spans="1:30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>
        <f t="shared" si="0"/>
        <v>0</v>
      </c>
      <c r="V19" s="9">
        <f t="shared" si="1"/>
        <v>0</v>
      </c>
      <c r="W19" s="9">
        <f t="shared" si="2"/>
        <v>0</v>
      </c>
      <c r="X19" s="9">
        <f t="shared" si="3"/>
        <v>0</v>
      </c>
      <c r="Y19" s="9">
        <f t="shared" si="4"/>
        <v>0</v>
      </c>
      <c r="Z19" s="8"/>
      <c r="AA19" s="8"/>
      <c r="AB19" s="8"/>
      <c r="AC19" s="8"/>
      <c r="AD19" s="8"/>
    </row>
    <row r="20" spans="1:3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>
        <f t="shared" si="0"/>
        <v>0</v>
      </c>
      <c r="V20" s="9">
        <f t="shared" si="1"/>
        <v>0</v>
      </c>
      <c r="W20" s="9">
        <f t="shared" si="2"/>
        <v>0</v>
      </c>
      <c r="X20" s="9">
        <f t="shared" si="3"/>
        <v>0</v>
      </c>
      <c r="Y20" s="9">
        <f t="shared" si="4"/>
        <v>0</v>
      </c>
      <c r="Z20" s="8"/>
      <c r="AA20" s="8"/>
      <c r="AB20" s="8"/>
      <c r="AC20" s="8"/>
      <c r="AD20" s="8"/>
    </row>
    <row r="21" spans="1:30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>
        <f t="shared" si="0"/>
        <v>0</v>
      </c>
      <c r="V21" s="9">
        <f t="shared" si="1"/>
        <v>0</v>
      </c>
      <c r="W21" s="9">
        <f t="shared" si="2"/>
        <v>0</v>
      </c>
      <c r="X21" s="9">
        <f t="shared" si="3"/>
        <v>0</v>
      </c>
      <c r="Y21" s="9">
        <f t="shared" si="4"/>
        <v>0</v>
      </c>
      <c r="Z21" s="8"/>
      <c r="AA21" s="8"/>
      <c r="AB21" s="8"/>
      <c r="AC21" s="8"/>
      <c r="AD21" s="8"/>
    </row>
    <row r="22" spans="1:30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>
        <f t="shared" si="0"/>
        <v>0</v>
      </c>
      <c r="V22" s="9">
        <f t="shared" si="1"/>
        <v>0</v>
      </c>
      <c r="W22" s="9">
        <f t="shared" si="2"/>
        <v>0</v>
      </c>
      <c r="X22" s="9">
        <f t="shared" si="3"/>
        <v>0</v>
      </c>
      <c r="Y22" s="9">
        <f t="shared" si="4"/>
        <v>0</v>
      </c>
      <c r="Z22" s="8"/>
      <c r="AA22" s="8"/>
      <c r="AB22" s="8"/>
      <c r="AC22" s="8"/>
      <c r="AD22" s="8"/>
    </row>
    <row r="23" spans="1:30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>
        <f t="shared" si="0"/>
        <v>0</v>
      </c>
      <c r="V23" s="9">
        <f t="shared" si="1"/>
        <v>0</v>
      </c>
      <c r="W23" s="9">
        <f t="shared" si="2"/>
        <v>0</v>
      </c>
      <c r="X23" s="9">
        <f t="shared" si="3"/>
        <v>0</v>
      </c>
      <c r="Y23" s="9">
        <f t="shared" si="4"/>
        <v>0</v>
      </c>
      <c r="Z23" s="8"/>
      <c r="AA23" s="8"/>
      <c r="AB23" s="8"/>
      <c r="AC23" s="8"/>
      <c r="AD23" s="8"/>
    </row>
    <row r="24" spans="1:30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>
        <f t="shared" si="0"/>
        <v>0</v>
      </c>
      <c r="V24" s="9">
        <f t="shared" si="1"/>
        <v>0</v>
      </c>
      <c r="W24" s="9">
        <f t="shared" si="2"/>
        <v>0</v>
      </c>
      <c r="X24" s="9">
        <f t="shared" si="3"/>
        <v>0</v>
      </c>
      <c r="Y24" s="9">
        <f t="shared" si="4"/>
        <v>0</v>
      </c>
      <c r="Z24" s="8"/>
      <c r="AA24" s="8"/>
      <c r="AB24" s="8"/>
      <c r="AC24" s="8"/>
      <c r="AD24" s="8"/>
    </row>
    <row r="25" spans="1:3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>
        <f t="shared" si="0"/>
        <v>0</v>
      </c>
      <c r="V25" s="9">
        <f t="shared" si="1"/>
        <v>0</v>
      </c>
      <c r="W25" s="9">
        <f t="shared" si="2"/>
        <v>0</v>
      </c>
      <c r="X25" s="9">
        <f t="shared" si="3"/>
        <v>0</v>
      </c>
      <c r="Y25" s="9">
        <f t="shared" si="4"/>
        <v>0</v>
      </c>
      <c r="Z25" s="8"/>
      <c r="AA25" s="8"/>
      <c r="AB25" s="8"/>
      <c r="AC25" s="8"/>
      <c r="AD25" s="8"/>
    </row>
    <row r="26" spans="1:30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>
        <f t="shared" si="0"/>
        <v>0</v>
      </c>
      <c r="V26" s="9">
        <f t="shared" si="1"/>
        <v>0</v>
      </c>
      <c r="W26" s="9">
        <f t="shared" si="2"/>
        <v>0</v>
      </c>
      <c r="X26" s="9">
        <f t="shared" si="3"/>
        <v>0</v>
      </c>
      <c r="Y26" s="9">
        <f t="shared" si="4"/>
        <v>0</v>
      </c>
      <c r="Z26" s="8"/>
      <c r="AA26" s="8"/>
      <c r="AB26" s="8"/>
      <c r="AC26" s="8"/>
      <c r="AD26" s="8"/>
    </row>
    <row r="27" spans="1:30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>
        <f t="shared" si="0"/>
        <v>0</v>
      </c>
      <c r="V27" s="9">
        <f t="shared" si="1"/>
        <v>0</v>
      </c>
      <c r="W27" s="9">
        <f t="shared" si="2"/>
        <v>0</v>
      </c>
      <c r="X27" s="9">
        <f t="shared" si="3"/>
        <v>0</v>
      </c>
      <c r="Y27" s="9">
        <f t="shared" si="4"/>
        <v>0</v>
      </c>
      <c r="Z27" s="8"/>
      <c r="AA27" s="8"/>
      <c r="AB27" s="8"/>
      <c r="AC27" s="8"/>
      <c r="AD27" s="8"/>
    </row>
    <row r="28" spans="1:30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>
        <f t="shared" si="0"/>
        <v>0</v>
      </c>
      <c r="V28" s="9">
        <f t="shared" si="1"/>
        <v>0</v>
      </c>
      <c r="W28" s="9">
        <f t="shared" si="2"/>
        <v>0</v>
      </c>
      <c r="X28" s="9">
        <f t="shared" si="3"/>
        <v>0</v>
      </c>
      <c r="Y28" s="9">
        <f t="shared" si="4"/>
        <v>0</v>
      </c>
      <c r="Z28" s="8"/>
      <c r="AA28" s="8"/>
      <c r="AB28" s="8"/>
      <c r="AC28" s="8"/>
      <c r="AD28" s="8"/>
    </row>
    <row r="29" spans="1:30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>
        <f t="shared" si="0"/>
        <v>0</v>
      </c>
      <c r="V29" s="9">
        <f t="shared" si="1"/>
        <v>0</v>
      </c>
      <c r="W29" s="9">
        <f t="shared" si="2"/>
        <v>0</v>
      </c>
      <c r="X29" s="9">
        <f t="shared" si="3"/>
        <v>0</v>
      </c>
      <c r="Y29" s="9">
        <f t="shared" si="4"/>
        <v>0</v>
      </c>
      <c r="Z29" s="8"/>
      <c r="AA29" s="8"/>
      <c r="AB29" s="8"/>
      <c r="AC29" s="8"/>
      <c r="AD29" s="8"/>
    </row>
    <row r="30" spans="1: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>
        <f t="shared" si="0"/>
        <v>0</v>
      </c>
      <c r="V30" s="9">
        <f t="shared" si="1"/>
        <v>0</v>
      </c>
      <c r="W30" s="9">
        <f t="shared" si="2"/>
        <v>0</v>
      </c>
      <c r="X30" s="9">
        <f t="shared" si="3"/>
        <v>0</v>
      </c>
      <c r="Y30" s="9">
        <f t="shared" si="4"/>
        <v>0</v>
      </c>
      <c r="Z30" s="8"/>
      <c r="AA30" s="8"/>
      <c r="AB30" s="8"/>
      <c r="AC30" s="8"/>
      <c r="AD30" s="8"/>
    </row>
    <row r="31" spans="1:30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>
        <f t="shared" si="0"/>
        <v>0</v>
      </c>
      <c r="V31" s="9">
        <f t="shared" si="1"/>
        <v>0</v>
      </c>
      <c r="W31" s="9">
        <f t="shared" si="2"/>
        <v>0</v>
      </c>
      <c r="X31" s="9">
        <f t="shared" si="3"/>
        <v>0</v>
      </c>
      <c r="Y31" s="9">
        <f t="shared" si="4"/>
        <v>0</v>
      </c>
      <c r="Z31" s="8"/>
      <c r="AA31" s="8"/>
      <c r="AB31" s="8"/>
      <c r="AC31" s="8"/>
      <c r="AD31" s="8"/>
    </row>
    <row r="32" spans="1:30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>
        <f t="shared" si="0"/>
        <v>0</v>
      </c>
      <c r="V32" s="9">
        <f t="shared" si="1"/>
        <v>0</v>
      </c>
      <c r="W32" s="9">
        <f t="shared" si="2"/>
        <v>0</v>
      </c>
      <c r="X32" s="9">
        <f t="shared" si="3"/>
        <v>0</v>
      </c>
      <c r="Y32" s="9">
        <f t="shared" si="4"/>
        <v>0</v>
      </c>
      <c r="Z32" s="8"/>
      <c r="AA32" s="8"/>
      <c r="AB32" s="8"/>
      <c r="AC32" s="8"/>
      <c r="AD32" s="8"/>
    </row>
    <row r="33" spans="1:3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9">
        <f t="shared" si="0"/>
        <v>0</v>
      </c>
      <c r="V33" s="9">
        <f t="shared" si="1"/>
        <v>0</v>
      </c>
      <c r="W33" s="9">
        <f t="shared" si="2"/>
        <v>0</v>
      </c>
      <c r="X33" s="9">
        <f t="shared" si="3"/>
        <v>0</v>
      </c>
      <c r="Y33" s="9">
        <f t="shared" si="4"/>
        <v>0</v>
      </c>
      <c r="Z33" s="8"/>
      <c r="AA33" s="8"/>
      <c r="AB33" s="8"/>
      <c r="AC33" s="8"/>
      <c r="AD33" s="8"/>
    </row>
    <row r="34" spans="1:3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9">
        <f t="shared" si="0"/>
        <v>0</v>
      </c>
      <c r="V34" s="9">
        <f t="shared" si="1"/>
        <v>0</v>
      </c>
      <c r="W34" s="9">
        <f t="shared" si="2"/>
        <v>0</v>
      </c>
      <c r="X34" s="9">
        <f t="shared" si="3"/>
        <v>0</v>
      </c>
      <c r="Y34" s="9">
        <f t="shared" si="4"/>
        <v>0</v>
      </c>
      <c r="Z34" s="8"/>
      <c r="AA34" s="8"/>
      <c r="AB34" s="8"/>
      <c r="AC34" s="8"/>
      <c r="AD34" s="8"/>
    </row>
    <row r="35" spans="1:3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>
        <f t="shared" si="0"/>
        <v>0</v>
      </c>
      <c r="V35" s="9">
        <f t="shared" si="1"/>
        <v>0</v>
      </c>
      <c r="W35" s="9">
        <f t="shared" si="2"/>
        <v>0</v>
      </c>
      <c r="X35" s="9">
        <f t="shared" si="3"/>
        <v>0</v>
      </c>
      <c r="Y35" s="9">
        <f t="shared" si="4"/>
        <v>0</v>
      </c>
      <c r="Z35" s="8"/>
      <c r="AA35" s="8"/>
      <c r="AB35" s="8"/>
      <c r="AC35" s="8"/>
      <c r="AD35" s="8"/>
    </row>
    <row r="36" spans="1:3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>
        <f t="shared" si="0"/>
        <v>0</v>
      </c>
      <c r="V36" s="9">
        <f t="shared" si="1"/>
        <v>0</v>
      </c>
      <c r="W36" s="9">
        <f t="shared" si="2"/>
        <v>0</v>
      </c>
      <c r="X36" s="9">
        <f t="shared" si="3"/>
        <v>0</v>
      </c>
      <c r="Y36" s="9">
        <f t="shared" si="4"/>
        <v>0</v>
      </c>
      <c r="Z36" s="8"/>
      <c r="AA36" s="8"/>
      <c r="AB36" s="8"/>
      <c r="AC36" s="8"/>
      <c r="AD36" s="8"/>
    </row>
    <row r="37" spans="1:3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9">
        <f t="shared" si="0"/>
        <v>0</v>
      </c>
      <c r="V37" s="9">
        <f t="shared" si="1"/>
        <v>0</v>
      </c>
      <c r="W37" s="9">
        <f t="shared" si="2"/>
        <v>0</v>
      </c>
      <c r="X37" s="9">
        <f t="shared" si="3"/>
        <v>0</v>
      </c>
      <c r="Y37" s="9">
        <f t="shared" si="4"/>
        <v>0</v>
      </c>
      <c r="Z37" s="8"/>
      <c r="AA37" s="8"/>
      <c r="AB37" s="8"/>
      <c r="AC37" s="8"/>
      <c r="AD37" s="8"/>
    </row>
    <row r="38" spans="1:3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9">
        <f t="shared" si="0"/>
        <v>0</v>
      </c>
      <c r="V38" s="9">
        <f t="shared" si="1"/>
        <v>0</v>
      </c>
      <c r="W38" s="9">
        <f t="shared" si="2"/>
        <v>0</v>
      </c>
      <c r="X38" s="9">
        <f t="shared" si="3"/>
        <v>0</v>
      </c>
      <c r="Y38" s="9">
        <f t="shared" si="4"/>
        <v>0</v>
      </c>
      <c r="Z38" s="8"/>
      <c r="AA38" s="8"/>
      <c r="AB38" s="8"/>
      <c r="AC38" s="8"/>
      <c r="AD38" s="8"/>
    </row>
    <row r="39" spans="1:3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9">
        <f t="shared" si="0"/>
        <v>0</v>
      </c>
      <c r="V39" s="9">
        <f t="shared" si="1"/>
        <v>0</v>
      </c>
      <c r="W39" s="9">
        <f t="shared" si="2"/>
        <v>0</v>
      </c>
      <c r="X39" s="9">
        <f t="shared" si="3"/>
        <v>0</v>
      </c>
      <c r="Y39" s="9">
        <f t="shared" si="4"/>
        <v>0</v>
      </c>
      <c r="Z39" s="8"/>
      <c r="AA39" s="8"/>
      <c r="AB39" s="8"/>
      <c r="AC39" s="8"/>
      <c r="AD39" s="8"/>
    </row>
    <row r="40" spans="1:3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>
        <f t="shared" si="0"/>
        <v>0</v>
      </c>
      <c r="V40" s="9">
        <f t="shared" si="1"/>
        <v>0</v>
      </c>
      <c r="W40" s="9">
        <f t="shared" si="2"/>
        <v>0</v>
      </c>
      <c r="X40" s="9">
        <f t="shared" si="3"/>
        <v>0</v>
      </c>
      <c r="Y40" s="9">
        <f t="shared" si="4"/>
        <v>0</v>
      </c>
      <c r="Z40" s="8"/>
      <c r="AA40" s="8"/>
      <c r="AB40" s="8"/>
      <c r="AC40" s="8"/>
      <c r="AD40" s="8"/>
    </row>
    <row r="41" spans="1:3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9">
        <f t="shared" si="0"/>
        <v>0</v>
      </c>
      <c r="V41" s="9">
        <f t="shared" si="1"/>
        <v>0</v>
      </c>
      <c r="W41" s="9">
        <f t="shared" si="2"/>
        <v>0</v>
      </c>
      <c r="X41" s="9">
        <f t="shared" si="3"/>
        <v>0</v>
      </c>
      <c r="Y41" s="9">
        <f t="shared" si="4"/>
        <v>0</v>
      </c>
      <c r="Z41" s="8"/>
      <c r="AA41" s="8"/>
      <c r="AB41" s="8"/>
      <c r="AC41" s="8"/>
      <c r="AD41" s="8"/>
    </row>
    <row r="42" spans="1:30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9">
        <f t="shared" si="0"/>
        <v>0</v>
      </c>
      <c r="V42" s="9">
        <f t="shared" si="1"/>
        <v>0</v>
      </c>
      <c r="W42" s="9">
        <f t="shared" si="2"/>
        <v>0</v>
      </c>
      <c r="X42" s="9">
        <f t="shared" si="3"/>
        <v>0</v>
      </c>
      <c r="Y42" s="9">
        <f t="shared" si="4"/>
        <v>0</v>
      </c>
      <c r="Z42" s="8"/>
      <c r="AA42" s="8"/>
      <c r="AB42" s="8"/>
      <c r="AC42" s="8"/>
      <c r="AD42" s="8"/>
    </row>
    <row r="43" spans="1:3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>
        <f t="shared" si="0"/>
        <v>0</v>
      </c>
      <c r="V43" s="9">
        <f t="shared" si="1"/>
        <v>0</v>
      </c>
      <c r="W43" s="9">
        <f t="shared" si="2"/>
        <v>0</v>
      </c>
      <c r="X43" s="9">
        <f t="shared" si="3"/>
        <v>0</v>
      </c>
      <c r="Y43" s="9">
        <f t="shared" si="4"/>
        <v>0</v>
      </c>
      <c r="Z43" s="8"/>
      <c r="AA43" s="8"/>
      <c r="AB43" s="8"/>
      <c r="AC43" s="8"/>
      <c r="AD43" s="8"/>
    </row>
    <row r="44" spans="1:3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>
        <f t="shared" si="0"/>
        <v>0</v>
      </c>
      <c r="V44" s="9">
        <f t="shared" si="1"/>
        <v>0</v>
      </c>
      <c r="W44" s="9">
        <f t="shared" si="2"/>
        <v>0</v>
      </c>
      <c r="X44" s="9">
        <f t="shared" si="3"/>
        <v>0</v>
      </c>
      <c r="Y44" s="9">
        <f t="shared" si="4"/>
        <v>0</v>
      </c>
      <c r="Z44" s="8"/>
      <c r="AA44" s="8"/>
      <c r="AB44" s="8"/>
      <c r="AC44" s="8"/>
      <c r="AD44" s="8"/>
    </row>
    <row r="45" spans="1:3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>
        <f t="shared" si="0"/>
        <v>0</v>
      </c>
      <c r="V45" s="9">
        <f t="shared" si="1"/>
        <v>0</v>
      </c>
      <c r="W45" s="9">
        <f t="shared" si="2"/>
        <v>0</v>
      </c>
      <c r="X45" s="9">
        <f t="shared" si="3"/>
        <v>0</v>
      </c>
      <c r="Y45" s="9">
        <f t="shared" si="4"/>
        <v>0</v>
      </c>
      <c r="Z45" s="8"/>
      <c r="AA45" s="8"/>
      <c r="AB45" s="8"/>
      <c r="AC45" s="8"/>
      <c r="AD45" s="8"/>
    </row>
    <row r="46" spans="1:3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>
        <f t="shared" si="0"/>
        <v>0</v>
      </c>
      <c r="V46" s="9">
        <f t="shared" si="1"/>
        <v>0</v>
      </c>
      <c r="W46" s="9">
        <f t="shared" si="2"/>
        <v>0</v>
      </c>
      <c r="X46" s="9">
        <f t="shared" si="3"/>
        <v>0</v>
      </c>
      <c r="Y46" s="9">
        <f t="shared" si="4"/>
        <v>0</v>
      </c>
      <c r="Z46" s="8"/>
      <c r="AA46" s="8"/>
      <c r="AB46" s="8"/>
      <c r="AC46" s="8"/>
      <c r="AD46" s="8"/>
    </row>
    <row r="47" spans="1:3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>
        <f t="shared" si="0"/>
        <v>0</v>
      </c>
      <c r="V47" s="9">
        <f t="shared" si="1"/>
        <v>0</v>
      </c>
      <c r="W47" s="9">
        <f t="shared" si="2"/>
        <v>0</v>
      </c>
      <c r="X47" s="9">
        <f t="shared" si="3"/>
        <v>0</v>
      </c>
      <c r="Y47" s="9">
        <f t="shared" si="4"/>
        <v>0</v>
      </c>
      <c r="Z47" s="8"/>
      <c r="AA47" s="8"/>
      <c r="AB47" s="8"/>
      <c r="AC47" s="8"/>
      <c r="AD47" s="8"/>
    </row>
    <row r="48" spans="1:3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>
        <f t="shared" si="0"/>
        <v>0</v>
      </c>
      <c r="V48" s="9">
        <f t="shared" si="1"/>
        <v>0</v>
      </c>
      <c r="W48" s="9">
        <f t="shared" si="2"/>
        <v>0</v>
      </c>
      <c r="X48" s="9">
        <f t="shared" si="3"/>
        <v>0</v>
      </c>
      <c r="Y48" s="9">
        <f t="shared" si="4"/>
        <v>0</v>
      </c>
      <c r="Z48" s="8"/>
      <c r="AA48" s="8"/>
      <c r="AB48" s="8"/>
      <c r="AC48" s="8"/>
      <c r="AD48" s="8"/>
    </row>
    <row r="49" spans="1:3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>
        <f t="shared" si="0"/>
        <v>0</v>
      </c>
      <c r="V49" s="9">
        <f t="shared" si="1"/>
        <v>0</v>
      </c>
      <c r="W49" s="9">
        <f t="shared" si="2"/>
        <v>0</v>
      </c>
      <c r="X49" s="9">
        <f t="shared" si="3"/>
        <v>0</v>
      </c>
      <c r="Y49" s="9">
        <f t="shared" si="4"/>
        <v>0</v>
      </c>
      <c r="Z49" s="8"/>
      <c r="AA49" s="8"/>
      <c r="AB49" s="8"/>
      <c r="AC49" s="8"/>
      <c r="AD49" s="8"/>
    </row>
    <row r="50" spans="1:3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>
        <f t="shared" si="0"/>
        <v>0</v>
      </c>
      <c r="V50" s="9">
        <f t="shared" si="1"/>
        <v>0</v>
      </c>
      <c r="W50" s="9">
        <f t="shared" si="2"/>
        <v>0</v>
      </c>
      <c r="X50" s="9">
        <f t="shared" si="3"/>
        <v>0</v>
      </c>
      <c r="Y50" s="9">
        <f t="shared" si="4"/>
        <v>0</v>
      </c>
      <c r="Z50" s="8"/>
      <c r="AA50" s="8"/>
      <c r="AB50" s="8"/>
      <c r="AC50" s="8"/>
      <c r="AD50" s="8"/>
    </row>
    <row r="51" spans="1:30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>
        <f t="shared" si="0"/>
        <v>0</v>
      </c>
      <c r="V51" s="9">
        <f t="shared" si="1"/>
        <v>0</v>
      </c>
      <c r="W51" s="9">
        <f t="shared" si="2"/>
        <v>0</v>
      </c>
      <c r="X51" s="9">
        <f t="shared" si="3"/>
        <v>0</v>
      </c>
      <c r="Y51" s="9">
        <f t="shared" si="4"/>
        <v>0</v>
      </c>
      <c r="Z51" s="8"/>
      <c r="AA51" s="8"/>
      <c r="AB51" s="8"/>
      <c r="AC51" s="8"/>
      <c r="AD51" s="8"/>
    </row>
    <row r="52" spans="1:3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>
        <f t="shared" si="0"/>
        <v>0</v>
      </c>
      <c r="V52" s="9">
        <f t="shared" si="1"/>
        <v>0</v>
      </c>
      <c r="W52" s="9">
        <f t="shared" si="2"/>
        <v>0</v>
      </c>
      <c r="X52" s="9">
        <f t="shared" si="3"/>
        <v>0</v>
      </c>
      <c r="Y52" s="9">
        <f t="shared" si="4"/>
        <v>0</v>
      </c>
      <c r="Z52" s="8"/>
      <c r="AA52" s="8"/>
      <c r="AB52" s="8"/>
      <c r="AC52" s="8"/>
      <c r="AD52" s="8"/>
    </row>
    <row r="53" spans="1:30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>
        <f t="shared" si="0"/>
        <v>0</v>
      </c>
      <c r="V53" s="9">
        <f t="shared" si="1"/>
        <v>0</v>
      </c>
      <c r="W53" s="9">
        <f t="shared" si="2"/>
        <v>0</v>
      </c>
      <c r="X53" s="9">
        <f t="shared" si="3"/>
        <v>0</v>
      </c>
      <c r="Y53" s="9">
        <f t="shared" si="4"/>
        <v>0</v>
      </c>
      <c r="Z53" s="8"/>
      <c r="AA53" s="8"/>
      <c r="AB53" s="8"/>
      <c r="AC53" s="8"/>
      <c r="AD53" s="8"/>
    </row>
    <row r="54" spans="1:30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>
        <f t="shared" si="0"/>
        <v>0</v>
      </c>
      <c r="V54" s="9">
        <f t="shared" si="1"/>
        <v>0</v>
      </c>
      <c r="W54" s="9">
        <f t="shared" si="2"/>
        <v>0</v>
      </c>
      <c r="X54" s="9">
        <f t="shared" si="3"/>
        <v>0</v>
      </c>
      <c r="Y54" s="9">
        <f t="shared" si="4"/>
        <v>0</v>
      </c>
      <c r="Z54" s="8"/>
      <c r="AA54" s="8"/>
      <c r="AB54" s="8"/>
      <c r="AC54" s="8"/>
      <c r="AD54" s="8"/>
    </row>
    <row r="55" spans="1:30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>
        <f t="shared" si="0"/>
        <v>0</v>
      </c>
      <c r="V55" s="9">
        <f t="shared" si="1"/>
        <v>0</v>
      </c>
      <c r="W55" s="9">
        <f t="shared" si="2"/>
        <v>0</v>
      </c>
      <c r="X55" s="9">
        <f t="shared" si="3"/>
        <v>0</v>
      </c>
      <c r="Y55" s="9">
        <f t="shared" si="4"/>
        <v>0</v>
      </c>
      <c r="Z55" s="8"/>
      <c r="AA55" s="8"/>
      <c r="AB55" s="8"/>
      <c r="AC55" s="8"/>
      <c r="AD55" s="8"/>
    </row>
    <row r="56" spans="1:30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>
        <f t="shared" si="0"/>
        <v>0</v>
      </c>
      <c r="V56" s="9">
        <f t="shared" si="1"/>
        <v>0</v>
      </c>
      <c r="W56" s="9">
        <f t="shared" si="2"/>
        <v>0</v>
      </c>
      <c r="X56" s="9">
        <f t="shared" si="3"/>
        <v>0</v>
      </c>
      <c r="Y56" s="9">
        <f t="shared" si="4"/>
        <v>0</v>
      </c>
      <c r="Z56" s="8"/>
      <c r="AA56" s="8"/>
      <c r="AB56" s="8"/>
      <c r="AC56" s="8"/>
      <c r="AD56" s="8"/>
    </row>
    <row r="57" spans="1:30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>
        <f t="shared" si="0"/>
        <v>0</v>
      </c>
      <c r="V57" s="9">
        <f t="shared" si="1"/>
        <v>0</v>
      </c>
      <c r="W57" s="9">
        <f t="shared" si="2"/>
        <v>0</v>
      </c>
      <c r="X57" s="9">
        <f t="shared" si="3"/>
        <v>0</v>
      </c>
      <c r="Y57" s="9">
        <f t="shared" si="4"/>
        <v>0</v>
      </c>
      <c r="Z57" s="8"/>
      <c r="AA57" s="8"/>
      <c r="AB57" s="8"/>
      <c r="AC57" s="8"/>
      <c r="AD57" s="8"/>
    </row>
    <row r="58" spans="1:30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>
        <f t="shared" si="0"/>
        <v>0</v>
      </c>
      <c r="V58" s="9">
        <f t="shared" si="1"/>
        <v>0</v>
      </c>
      <c r="W58" s="9">
        <f t="shared" si="2"/>
        <v>0</v>
      </c>
      <c r="X58" s="9">
        <f t="shared" si="3"/>
        <v>0</v>
      </c>
      <c r="Y58" s="9">
        <f t="shared" si="4"/>
        <v>0</v>
      </c>
      <c r="Z58" s="8"/>
      <c r="AA58" s="8"/>
      <c r="AB58" s="8"/>
      <c r="AC58" s="8"/>
      <c r="AD58" s="8"/>
    </row>
    <row r="59" spans="1:30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>
        <f t="shared" si="0"/>
        <v>0</v>
      </c>
      <c r="V59" s="9">
        <f t="shared" si="1"/>
        <v>0</v>
      </c>
      <c r="W59" s="9">
        <f t="shared" si="2"/>
        <v>0</v>
      </c>
      <c r="X59" s="9">
        <f t="shared" si="3"/>
        <v>0</v>
      </c>
      <c r="Y59" s="9">
        <f t="shared" si="4"/>
        <v>0</v>
      </c>
      <c r="Z59" s="8"/>
      <c r="AA59" s="8"/>
      <c r="AB59" s="8"/>
      <c r="AC59" s="8"/>
      <c r="AD59" s="8"/>
    </row>
    <row r="60" spans="1:3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>
        <f t="shared" si="0"/>
        <v>0</v>
      </c>
      <c r="V60" s="9">
        <f t="shared" si="1"/>
        <v>0</v>
      </c>
      <c r="W60" s="9">
        <f t="shared" si="2"/>
        <v>0</v>
      </c>
      <c r="X60" s="9">
        <f t="shared" si="3"/>
        <v>0</v>
      </c>
      <c r="Y60" s="9">
        <f t="shared" si="4"/>
        <v>0</v>
      </c>
      <c r="Z60" s="8"/>
      <c r="AA60" s="8"/>
      <c r="AB60" s="8"/>
      <c r="AC60" s="8"/>
      <c r="AD60" s="8"/>
    </row>
    <row r="61" spans="1:30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>
        <f t="shared" si="0"/>
        <v>0</v>
      </c>
      <c r="V61" s="9">
        <f t="shared" si="1"/>
        <v>0</v>
      </c>
      <c r="W61" s="9">
        <f t="shared" si="2"/>
        <v>0</v>
      </c>
      <c r="X61" s="9">
        <f t="shared" si="3"/>
        <v>0</v>
      </c>
      <c r="Y61" s="9">
        <f t="shared" si="4"/>
        <v>0</v>
      </c>
      <c r="Z61" s="8"/>
      <c r="AA61" s="8"/>
      <c r="AB61" s="8"/>
      <c r="AC61" s="8"/>
      <c r="AD61" s="8"/>
    </row>
    <row r="62" spans="1:30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9">
        <f t="shared" si="0"/>
        <v>0</v>
      </c>
      <c r="V62" s="9">
        <f t="shared" si="1"/>
        <v>0</v>
      </c>
      <c r="W62" s="9">
        <f t="shared" si="2"/>
        <v>0</v>
      </c>
      <c r="X62" s="9">
        <f t="shared" si="3"/>
        <v>0</v>
      </c>
      <c r="Y62" s="9">
        <f t="shared" si="4"/>
        <v>0</v>
      </c>
      <c r="Z62" s="8"/>
      <c r="AA62" s="8"/>
      <c r="AB62" s="8"/>
      <c r="AC62" s="8"/>
      <c r="AD62" s="8"/>
    </row>
    <row r="63" spans="1:30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>
        <f t="shared" si="0"/>
        <v>0</v>
      </c>
      <c r="V63" s="9">
        <f t="shared" si="1"/>
        <v>0</v>
      </c>
      <c r="W63" s="9">
        <f t="shared" si="2"/>
        <v>0</v>
      </c>
      <c r="X63" s="9">
        <f t="shared" si="3"/>
        <v>0</v>
      </c>
      <c r="Y63" s="9">
        <f t="shared" si="4"/>
        <v>0</v>
      </c>
      <c r="Z63" s="8"/>
      <c r="AA63" s="8"/>
      <c r="AB63" s="8"/>
      <c r="AC63" s="8"/>
      <c r="AD63" s="8"/>
    </row>
    <row r="64" spans="1:30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>
        <f t="shared" si="0"/>
        <v>0</v>
      </c>
      <c r="V64" s="9">
        <f t="shared" si="1"/>
        <v>0</v>
      </c>
      <c r="W64" s="9">
        <f t="shared" si="2"/>
        <v>0</v>
      </c>
      <c r="X64" s="9">
        <f t="shared" si="3"/>
        <v>0</v>
      </c>
      <c r="Y64" s="9">
        <f t="shared" si="4"/>
        <v>0</v>
      </c>
      <c r="Z64" s="8"/>
      <c r="AA64" s="8"/>
      <c r="AB64" s="8"/>
      <c r="AC64" s="8"/>
      <c r="AD64" s="8"/>
    </row>
    <row r="65" spans="1:30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>
        <f t="shared" si="0"/>
        <v>0</v>
      </c>
      <c r="V65" s="9">
        <f t="shared" si="1"/>
        <v>0</v>
      </c>
      <c r="W65" s="9">
        <f t="shared" si="2"/>
        <v>0</v>
      </c>
      <c r="X65" s="9">
        <f t="shared" si="3"/>
        <v>0</v>
      </c>
      <c r="Y65" s="9">
        <f t="shared" si="4"/>
        <v>0</v>
      </c>
      <c r="Z65" s="8"/>
      <c r="AA65" s="8"/>
      <c r="AB65" s="8"/>
      <c r="AC65" s="8"/>
      <c r="AD65" s="8"/>
    </row>
    <row r="66" spans="1:30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9">
        <f t="shared" ref="U66:U129" si="5">H66*I66+K66*L66+M66*N66+O66*P66+Q66*R66+S66*T66</f>
        <v>0</v>
      </c>
      <c r="V66" s="9">
        <f t="shared" ref="V66:V129" si="6">IF(E66&gt;0,U66/E66*60,0)</f>
        <v>0</v>
      </c>
      <c r="W66" s="9">
        <f t="shared" ref="W66:W129" si="7">IF(E66&gt;0,F66/E66*60,0)</f>
        <v>0</v>
      </c>
      <c r="X66" s="9">
        <f t="shared" ref="X66:X129" si="8">IF(E66&gt;0,H66/E66*60,0)</f>
        <v>0</v>
      </c>
      <c r="Y66" s="9">
        <f t="shared" ref="Y66:Y129" si="9">IF(E66&gt;0,K66/E66*60,0)</f>
        <v>0</v>
      </c>
      <c r="Z66" s="8"/>
      <c r="AA66" s="8"/>
      <c r="AB66" s="8"/>
      <c r="AC66" s="8"/>
      <c r="AD66" s="8"/>
    </row>
    <row r="67" spans="1:30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9">
        <f t="shared" si="5"/>
        <v>0</v>
      </c>
      <c r="V67" s="9">
        <f t="shared" si="6"/>
        <v>0</v>
      </c>
      <c r="W67" s="9">
        <f t="shared" si="7"/>
        <v>0</v>
      </c>
      <c r="X67" s="9">
        <f t="shared" si="8"/>
        <v>0</v>
      </c>
      <c r="Y67" s="9">
        <f t="shared" si="9"/>
        <v>0</v>
      </c>
      <c r="Z67" s="8"/>
      <c r="AA67" s="8"/>
      <c r="AB67" s="8"/>
      <c r="AC67" s="8"/>
      <c r="AD67" s="8"/>
    </row>
    <row r="68" spans="1:30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>
        <f t="shared" si="5"/>
        <v>0</v>
      </c>
      <c r="V68" s="9">
        <f t="shared" si="6"/>
        <v>0</v>
      </c>
      <c r="W68" s="9">
        <f t="shared" si="7"/>
        <v>0</v>
      </c>
      <c r="X68" s="9">
        <f t="shared" si="8"/>
        <v>0</v>
      </c>
      <c r="Y68" s="9">
        <f t="shared" si="9"/>
        <v>0</v>
      </c>
      <c r="Z68" s="8"/>
      <c r="AA68" s="8"/>
      <c r="AB68" s="8"/>
      <c r="AC68" s="8"/>
      <c r="AD68" s="8"/>
    </row>
    <row r="69" spans="1:30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>
        <f t="shared" si="5"/>
        <v>0</v>
      </c>
      <c r="V69" s="9">
        <f t="shared" si="6"/>
        <v>0</v>
      </c>
      <c r="W69" s="9">
        <f t="shared" si="7"/>
        <v>0</v>
      </c>
      <c r="X69" s="9">
        <f t="shared" si="8"/>
        <v>0</v>
      </c>
      <c r="Y69" s="9">
        <f t="shared" si="9"/>
        <v>0</v>
      </c>
      <c r="Z69" s="8"/>
      <c r="AA69" s="8"/>
      <c r="AB69" s="8"/>
      <c r="AC69" s="8"/>
      <c r="AD69" s="8"/>
    </row>
    <row r="70" spans="1:3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9">
        <f t="shared" si="5"/>
        <v>0</v>
      </c>
      <c r="V70" s="9">
        <f t="shared" si="6"/>
        <v>0</v>
      </c>
      <c r="W70" s="9">
        <f t="shared" si="7"/>
        <v>0</v>
      </c>
      <c r="X70" s="9">
        <f t="shared" si="8"/>
        <v>0</v>
      </c>
      <c r="Y70" s="9">
        <f t="shared" si="9"/>
        <v>0</v>
      </c>
      <c r="Z70" s="8"/>
      <c r="AA70" s="8"/>
      <c r="AB70" s="8"/>
      <c r="AC70" s="8"/>
      <c r="AD70" s="8"/>
    </row>
    <row r="71" spans="1:30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>
        <f t="shared" si="5"/>
        <v>0</v>
      </c>
      <c r="V71" s="9">
        <f t="shared" si="6"/>
        <v>0</v>
      </c>
      <c r="W71" s="9">
        <f t="shared" si="7"/>
        <v>0</v>
      </c>
      <c r="X71" s="9">
        <f t="shared" si="8"/>
        <v>0</v>
      </c>
      <c r="Y71" s="9">
        <f t="shared" si="9"/>
        <v>0</v>
      </c>
      <c r="Z71" s="8"/>
      <c r="AA71" s="8"/>
      <c r="AB71" s="8"/>
      <c r="AC71" s="8"/>
      <c r="AD71" s="8"/>
    </row>
    <row r="72" spans="1:30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9">
        <f t="shared" si="5"/>
        <v>0</v>
      </c>
      <c r="V72" s="9">
        <f t="shared" si="6"/>
        <v>0</v>
      </c>
      <c r="W72" s="9">
        <f t="shared" si="7"/>
        <v>0</v>
      </c>
      <c r="X72" s="9">
        <f t="shared" si="8"/>
        <v>0</v>
      </c>
      <c r="Y72" s="9">
        <f t="shared" si="9"/>
        <v>0</v>
      </c>
      <c r="Z72" s="8"/>
      <c r="AA72" s="8"/>
      <c r="AB72" s="8"/>
      <c r="AC72" s="8"/>
      <c r="AD72" s="8"/>
    </row>
    <row r="73" spans="1:30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9">
        <f t="shared" si="5"/>
        <v>0</v>
      </c>
      <c r="V73" s="9">
        <f t="shared" si="6"/>
        <v>0</v>
      </c>
      <c r="W73" s="9">
        <f t="shared" si="7"/>
        <v>0</v>
      </c>
      <c r="X73" s="9">
        <f t="shared" si="8"/>
        <v>0</v>
      </c>
      <c r="Y73" s="9">
        <f t="shared" si="9"/>
        <v>0</v>
      </c>
      <c r="Z73" s="8"/>
      <c r="AA73" s="8"/>
      <c r="AB73" s="8"/>
      <c r="AC73" s="8"/>
      <c r="AD73" s="8"/>
    </row>
    <row r="74" spans="1:30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>
        <f t="shared" si="5"/>
        <v>0</v>
      </c>
      <c r="V74" s="9">
        <f t="shared" si="6"/>
        <v>0</v>
      </c>
      <c r="W74" s="9">
        <f t="shared" si="7"/>
        <v>0</v>
      </c>
      <c r="X74" s="9">
        <f t="shared" si="8"/>
        <v>0</v>
      </c>
      <c r="Y74" s="9">
        <f t="shared" si="9"/>
        <v>0</v>
      </c>
      <c r="Z74" s="8"/>
      <c r="AA74" s="8"/>
      <c r="AB74" s="8"/>
      <c r="AC74" s="8"/>
      <c r="AD74" s="8"/>
    </row>
    <row r="75" spans="1:30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9">
        <f t="shared" si="5"/>
        <v>0</v>
      </c>
      <c r="V75" s="9">
        <f t="shared" si="6"/>
        <v>0</v>
      </c>
      <c r="W75" s="9">
        <f t="shared" si="7"/>
        <v>0</v>
      </c>
      <c r="X75" s="9">
        <f t="shared" si="8"/>
        <v>0</v>
      </c>
      <c r="Y75" s="9">
        <f t="shared" si="9"/>
        <v>0</v>
      </c>
      <c r="Z75" s="8"/>
      <c r="AA75" s="8"/>
      <c r="AB75" s="8"/>
      <c r="AC75" s="8"/>
      <c r="AD75" s="8"/>
    </row>
    <row r="76" spans="1:30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>
        <f t="shared" si="5"/>
        <v>0</v>
      </c>
      <c r="V76" s="9">
        <f t="shared" si="6"/>
        <v>0</v>
      </c>
      <c r="W76" s="9">
        <f t="shared" si="7"/>
        <v>0</v>
      </c>
      <c r="X76" s="9">
        <f t="shared" si="8"/>
        <v>0</v>
      </c>
      <c r="Y76" s="9">
        <f t="shared" si="9"/>
        <v>0</v>
      </c>
      <c r="Z76" s="8"/>
      <c r="AA76" s="8"/>
      <c r="AB76" s="8"/>
      <c r="AC76" s="8"/>
      <c r="AD76" s="8"/>
    </row>
    <row r="77" spans="1:30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>
        <f t="shared" si="5"/>
        <v>0</v>
      </c>
      <c r="V77" s="9">
        <f t="shared" si="6"/>
        <v>0</v>
      </c>
      <c r="W77" s="9">
        <f t="shared" si="7"/>
        <v>0</v>
      </c>
      <c r="X77" s="9">
        <f t="shared" si="8"/>
        <v>0</v>
      </c>
      <c r="Y77" s="9">
        <f t="shared" si="9"/>
        <v>0</v>
      </c>
      <c r="Z77" s="8"/>
      <c r="AA77" s="8"/>
      <c r="AB77" s="8"/>
      <c r="AC77" s="8"/>
      <c r="AD77" s="8"/>
    </row>
    <row r="78" spans="1:30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9">
        <f t="shared" si="5"/>
        <v>0</v>
      </c>
      <c r="V78" s="9">
        <f t="shared" si="6"/>
        <v>0</v>
      </c>
      <c r="W78" s="9">
        <f t="shared" si="7"/>
        <v>0</v>
      </c>
      <c r="X78" s="9">
        <f t="shared" si="8"/>
        <v>0</v>
      </c>
      <c r="Y78" s="9">
        <f t="shared" si="9"/>
        <v>0</v>
      </c>
      <c r="Z78" s="8"/>
      <c r="AA78" s="8"/>
      <c r="AB78" s="8"/>
      <c r="AC78" s="8"/>
      <c r="AD78" s="8"/>
    </row>
    <row r="79" spans="1:30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9">
        <f t="shared" si="5"/>
        <v>0</v>
      </c>
      <c r="V79" s="9">
        <f t="shared" si="6"/>
        <v>0</v>
      </c>
      <c r="W79" s="9">
        <f t="shared" si="7"/>
        <v>0</v>
      </c>
      <c r="X79" s="9">
        <f t="shared" si="8"/>
        <v>0</v>
      </c>
      <c r="Y79" s="9">
        <f t="shared" si="9"/>
        <v>0</v>
      </c>
      <c r="Z79" s="8"/>
      <c r="AA79" s="8"/>
      <c r="AB79" s="8"/>
      <c r="AC79" s="8"/>
      <c r="AD79" s="8"/>
    </row>
    <row r="80" spans="1:3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9">
        <f t="shared" si="5"/>
        <v>0</v>
      </c>
      <c r="V80" s="9">
        <f t="shared" si="6"/>
        <v>0</v>
      </c>
      <c r="W80" s="9">
        <f t="shared" si="7"/>
        <v>0</v>
      </c>
      <c r="X80" s="9">
        <f t="shared" si="8"/>
        <v>0</v>
      </c>
      <c r="Y80" s="9">
        <f t="shared" si="9"/>
        <v>0</v>
      </c>
      <c r="Z80" s="8"/>
      <c r="AA80" s="8"/>
      <c r="AB80" s="8"/>
      <c r="AC80" s="8"/>
      <c r="AD80" s="8"/>
    </row>
    <row r="81" spans="1:30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9">
        <f t="shared" si="5"/>
        <v>0</v>
      </c>
      <c r="V81" s="9">
        <f t="shared" si="6"/>
        <v>0</v>
      </c>
      <c r="W81" s="9">
        <f t="shared" si="7"/>
        <v>0</v>
      </c>
      <c r="X81" s="9">
        <f t="shared" si="8"/>
        <v>0</v>
      </c>
      <c r="Y81" s="9">
        <f t="shared" si="9"/>
        <v>0</v>
      </c>
      <c r="Z81" s="8"/>
      <c r="AA81" s="8"/>
      <c r="AB81" s="8"/>
      <c r="AC81" s="8"/>
      <c r="AD81" s="8"/>
    </row>
    <row r="82" spans="1:30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>
        <f t="shared" si="5"/>
        <v>0</v>
      </c>
      <c r="V82" s="9">
        <f t="shared" si="6"/>
        <v>0</v>
      </c>
      <c r="W82" s="9">
        <f t="shared" si="7"/>
        <v>0</v>
      </c>
      <c r="X82" s="9">
        <f t="shared" si="8"/>
        <v>0</v>
      </c>
      <c r="Y82" s="9">
        <f t="shared" si="9"/>
        <v>0</v>
      </c>
      <c r="Z82" s="8"/>
      <c r="AA82" s="8"/>
      <c r="AB82" s="8"/>
      <c r="AC82" s="8"/>
      <c r="AD82" s="8"/>
    </row>
    <row r="83" spans="1:30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>
        <f t="shared" si="5"/>
        <v>0</v>
      </c>
      <c r="V83" s="9">
        <f t="shared" si="6"/>
        <v>0</v>
      </c>
      <c r="W83" s="9">
        <f t="shared" si="7"/>
        <v>0</v>
      </c>
      <c r="X83" s="9">
        <f t="shared" si="8"/>
        <v>0</v>
      </c>
      <c r="Y83" s="9">
        <f t="shared" si="9"/>
        <v>0</v>
      </c>
      <c r="Z83" s="8"/>
      <c r="AA83" s="8"/>
      <c r="AB83" s="8"/>
      <c r="AC83" s="8"/>
      <c r="AD83" s="8"/>
    </row>
    <row r="84" spans="1:30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9">
        <f t="shared" si="5"/>
        <v>0</v>
      </c>
      <c r="V84" s="9">
        <f t="shared" si="6"/>
        <v>0</v>
      </c>
      <c r="W84" s="9">
        <f t="shared" si="7"/>
        <v>0</v>
      </c>
      <c r="X84" s="9">
        <f t="shared" si="8"/>
        <v>0</v>
      </c>
      <c r="Y84" s="9">
        <f t="shared" si="9"/>
        <v>0</v>
      </c>
      <c r="Z84" s="8"/>
      <c r="AA84" s="8"/>
      <c r="AB84" s="8"/>
      <c r="AC84" s="8"/>
      <c r="AD84" s="8"/>
    </row>
    <row r="85" spans="1:30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>
        <f t="shared" si="5"/>
        <v>0</v>
      </c>
      <c r="V85" s="9">
        <f t="shared" si="6"/>
        <v>0</v>
      </c>
      <c r="W85" s="9">
        <f t="shared" si="7"/>
        <v>0</v>
      </c>
      <c r="X85" s="9">
        <f t="shared" si="8"/>
        <v>0</v>
      </c>
      <c r="Y85" s="9">
        <f t="shared" si="9"/>
        <v>0</v>
      </c>
      <c r="Z85" s="8"/>
      <c r="AA85" s="8"/>
      <c r="AB85" s="8"/>
      <c r="AC85" s="8"/>
      <c r="AD85" s="8"/>
    </row>
    <row r="86" spans="1:30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9">
        <f t="shared" si="5"/>
        <v>0</v>
      </c>
      <c r="V86" s="9">
        <f t="shared" si="6"/>
        <v>0</v>
      </c>
      <c r="W86" s="9">
        <f t="shared" si="7"/>
        <v>0</v>
      </c>
      <c r="X86" s="9">
        <f t="shared" si="8"/>
        <v>0</v>
      </c>
      <c r="Y86" s="9">
        <f t="shared" si="9"/>
        <v>0</v>
      </c>
      <c r="Z86" s="8"/>
      <c r="AA86" s="8"/>
      <c r="AB86" s="8"/>
      <c r="AC86" s="8"/>
      <c r="AD86" s="8"/>
    </row>
    <row r="87" spans="1:30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9">
        <f t="shared" si="5"/>
        <v>0</v>
      </c>
      <c r="V87" s="9">
        <f t="shared" si="6"/>
        <v>0</v>
      </c>
      <c r="W87" s="9">
        <f t="shared" si="7"/>
        <v>0</v>
      </c>
      <c r="X87" s="9">
        <f t="shared" si="8"/>
        <v>0</v>
      </c>
      <c r="Y87" s="9">
        <f t="shared" si="9"/>
        <v>0</v>
      </c>
      <c r="Z87" s="8"/>
      <c r="AA87" s="8"/>
      <c r="AB87" s="8"/>
      <c r="AC87" s="8"/>
      <c r="AD87" s="8"/>
    </row>
    <row r="88" spans="1:30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9">
        <f t="shared" si="5"/>
        <v>0</v>
      </c>
      <c r="V88" s="9">
        <f t="shared" si="6"/>
        <v>0</v>
      </c>
      <c r="W88" s="9">
        <f t="shared" si="7"/>
        <v>0</v>
      </c>
      <c r="X88" s="9">
        <f t="shared" si="8"/>
        <v>0</v>
      </c>
      <c r="Y88" s="9">
        <f t="shared" si="9"/>
        <v>0</v>
      </c>
      <c r="Z88" s="8"/>
      <c r="AA88" s="8"/>
      <c r="AB88" s="8"/>
      <c r="AC88" s="8"/>
      <c r="AD88" s="8"/>
    </row>
    <row r="89" spans="1:30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>
        <f t="shared" si="5"/>
        <v>0</v>
      </c>
      <c r="V89" s="9">
        <f t="shared" si="6"/>
        <v>0</v>
      </c>
      <c r="W89" s="9">
        <f t="shared" si="7"/>
        <v>0</v>
      </c>
      <c r="X89" s="9">
        <f t="shared" si="8"/>
        <v>0</v>
      </c>
      <c r="Y89" s="9">
        <f t="shared" si="9"/>
        <v>0</v>
      </c>
      <c r="Z89" s="8"/>
      <c r="AA89" s="8"/>
      <c r="AB89" s="8"/>
      <c r="AC89" s="8"/>
      <c r="AD89" s="8"/>
    </row>
    <row r="90" spans="1:3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9">
        <f t="shared" si="5"/>
        <v>0</v>
      </c>
      <c r="V90" s="9">
        <f t="shared" si="6"/>
        <v>0</v>
      </c>
      <c r="W90" s="9">
        <f t="shared" si="7"/>
        <v>0</v>
      </c>
      <c r="X90" s="9">
        <f t="shared" si="8"/>
        <v>0</v>
      </c>
      <c r="Y90" s="9">
        <f t="shared" si="9"/>
        <v>0</v>
      </c>
      <c r="Z90" s="8"/>
      <c r="AA90" s="8"/>
      <c r="AB90" s="8"/>
      <c r="AC90" s="8"/>
      <c r="AD90" s="8"/>
    </row>
    <row r="91" spans="1:30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9">
        <f t="shared" si="5"/>
        <v>0</v>
      </c>
      <c r="V91" s="9">
        <f t="shared" si="6"/>
        <v>0</v>
      </c>
      <c r="W91" s="9">
        <f t="shared" si="7"/>
        <v>0</v>
      </c>
      <c r="X91" s="9">
        <f t="shared" si="8"/>
        <v>0</v>
      </c>
      <c r="Y91" s="9">
        <f t="shared" si="9"/>
        <v>0</v>
      </c>
      <c r="Z91" s="8"/>
      <c r="AA91" s="8"/>
      <c r="AB91" s="8"/>
      <c r="AC91" s="8"/>
      <c r="AD91" s="8"/>
    </row>
    <row r="92" spans="1:30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9">
        <f t="shared" si="5"/>
        <v>0</v>
      </c>
      <c r="V92" s="9">
        <f t="shared" si="6"/>
        <v>0</v>
      </c>
      <c r="W92" s="9">
        <f t="shared" si="7"/>
        <v>0</v>
      </c>
      <c r="X92" s="9">
        <f t="shared" si="8"/>
        <v>0</v>
      </c>
      <c r="Y92" s="9">
        <f t="shared" si="9"/>
        <v>0</v>
      </c>
      <c r="Z92" s="8"/>
      <c r="AA92" s="8"/>
      <c r="AB92" s="8"/>
      <c r="AC92" s="8"/>
      <c r="AD92" s="8"/>
    </row>
    <row r="93" spans="1:30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9">
        <f t="shared" si="5"/>
        <v>0</v>
      </c>
      <c r="V93" s="9">
        <f t="shared" si="6"/>
        <v>0</v>
      </c>
      <c r="W93" s="9">
        <f t="shared" si="7"/>
        <v>0</v>
      </c>
      <c r="X93" s="9">
        <f t="shared" si="8"/>
        <v>0</v>
      </c>
      <c r="Y93" s="9">
        <f t="shared" si="9"/>
        <v>0</v>
      </c>
      <c r="Z93" s="8"/>
      <c r="AA93" s="8"/>
      <c r="AB93" s="8"/>
      <c r="AC93" s="8"/>
      <c r="AD93" s="8"/>
    </row>
    <row r="94" spans="1:30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9">
        <f t="shared" si="5"/>
        <v>0</v>
      </c>
      <c r="V94" s="9">
        <f t="shared" si="6"/>
        <v>0</v>
      </c>
      <c r="W94" s="9">
        <f t="shared" si="7"/>
        <v>0</v>
      </c>
      <c r="X94" s="9">
        <f t="shared" si="8"/>
        <v>0</v>
      </c>
      <c r="Y94" s="9">
        <f t="shared" si="9"/>
        <v>0</v>
      </c>
      <c r="Z94" s="8"/>
      <c r="AA94" s="8"/>
      <c r="AB94" s="8"/>
      <c r="AC94" s="8"/>
      <c r="AD94" s="8"/>
    </row>
    <row r="95" spans="1:30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9">
        <f t="shared" si="5"/>
        <v>0</v>
      </c>
      <c r="V95" s="9">
        <f t="shared" si="6"/>
        <v>0</v>
      </c>
      <c r="W95" s="9">
        <f t="shared" si="7"/>
        <v>0</v>
      </c>
      <c r="X95" s="9">
        <f t="shared" si="8"/>
        <v>0</v>
      </c>
      <c r="Y95" s="9">
        <f t="shared" si="9"/>
        <v>0</v>
      </c>
      <c r="Z95" s="8"/>
      <c r="AA95" s="8"/>
      <c r="AB95" s="8"/>
      <c r="AC95" s="8"/>
      <c r="AD95" s="8"/>
    </row>
    <row r="96" spans="1:30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9">
        <f t="shared" si="5"/>
        <v>0</v>
      </c>
      <c r="V96" s="9">
        <f t="shared" si="6"/>
        <v>0</v>
      </c>
      <c r="W96" s="9">
        <f t="shared" si="7"/>
        <v>0</v>
      </c>
      <c r="X96" s="9">
        <f t="shared" si="8"/>
        <v>0</v>
      </c>
      <c r="Y96" s="9">
        <f t="shared" si="9"/>
        <v>0</v>
      </c>
      <c r="Z96" s="8"/>
      <c r="AA96" s="8"/>
      <c r="AB96" s="8"/>
      <c r="AC96" s="8"/>
      <c r="AD96" s="8"/>
    </row>
    <row r="97" spans="1:30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9">
        <f t="shared" si="5"/>
        <v>0</v>
      </c>
      <c r="V97" s="9">
        <f t="shared" si="6"/>
        <v>0</v>
      </c>
      <c r="W97" s="9">
        <f t="shared" si="7"/>
        <v>0</v>
      </c>
      <c r="X97" s="9">
        <f t="shared" si="8"/>
        <v>0</v>
      </c>
      <c r="Y97" s="9">
        <f t="shared" si="9"/>
        <v>0</v>
      </c>
      <c r="Z97" s="8"/>
      <c r="AA97" s="8"/>
      <c r="AB97" s="8"/>
      <c r="AC97" s="8"/>
      <c r="AD97" s="8"/>
    </row>
    <row r="98" spans="1:30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9">
        <f t="shared" si="5"/>
        <v>0</v>
      </c>
      <c r="V98" s="9">
        <f t="shared" si="6"/>
        <v>0</v>
      </c>
      <c r="W98" s="9">
        <f t="shared" si="7"/>
        <v>0</v>
      </c>
      <c r="X98" s="9">
        <f t="shared" si="8"/>
        <v>0</v>
      </c>
      <c r="Y98" s="9">
        <f t="shared" si="9"/>
        <v>0</v>
      </c>
      <c r="Z98" s="8"/>
      <c r="AA98" s="8"/>
      <c r="AB98" s="8"/>
      <c r="AC98" s="8"/>
      <c r="AD98" s="8"/>
    </row>
    <row r="99" spans="1:30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9">
        <f t="shared" si="5"/>
        <v>0</v>
      </c>
      <c r="V99" s="9">
        <f t="shared" si="6"/>
        <v>0</v>
      </c>
      <c r="W99" s="9">
        <f t="shared" si="7"/>
        <v>0</v>
      </c>
      <c r="X99" s="9">
        <f t="shared" si="8"/>
        <v>0</v>
      </c>
      <c r="Y99" s="9">
        <f t="shared" si="9"/>
        <v>0</v>
      </c>
      <c r="Z99" s="8"/>
      <c r="AA99" s="8"/>
      <c r="AB99" s="8"/>
      <c r="AC99" s="8"/>
      <c r="AD99" s="8"/>
    </row>
    <row r="100" spans="1:3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>
        <f t="shared" si="5"/>
        <v>0</v>
      </c>
      <c r="V100" s="9">
        <f t="shared" si="6"/>
        <v>0</v>
      </c>
      <c r="W100" s="9">
        <f t="shared" si="7"/>
        <v>0</v>
      </c>
      <c r="X100" s="9">
        <f t="shared" si="8"/>
        <v>0</v>
      </c>
      <c r="Y100" s="9">
        <f t="shared" si="9"/>
        <v>0</v>
      </c>
      <c r="Z100" s="8"/>
      <c r="AA100" s="8"/>
      <c r="AB100" s="8"/>
      <c r="AC100" s="8"/>
      <c r="AD100" s="8"/>
    </row>
    <row r="101" spans="1:30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9">
        <f t="shared" si="5"/>
        <v>0</v>
      </c>
      <c r="V101" s="9">
        <f t="shared" si="6"/>
        <v>0</v>
      </c>
      <c r="W101" s="9">
        <f t="shared" si="7"/>
        <v>0</v>
      </c>
      <c r="X101" s="9">
        <f t="shared" si="8"/>
        <v>0</v>
      </c>
      <c r="Y101" s="9">
        <f t="shared" si="9"/>
        <v>0</v>
      </c>
      <c r="Z101" s="8"/>
      <c r="AA101" s="8"/>
      <c r="AB101" s="8"/>
      <c r="AC101" s="8"/>
      <c r="AD101" s="8"/>
    </row>
    <row r="102" spans="1:30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9">
        <f t="shared" si="5"/>
        <v>0</v>
      </c>
      <c r="V102" s="9">
        <f t="shared" si="6"/>
        <v>0</v>
      </c>
      <c r="W102" s="9">
        <f t="shared" si="7"/>
        <v>0</v>
      </c>
      <c r="X102" s="9">
        <f t="shared" si="8"/>
        <v>0</v>
      </c>
      <c r="Y102" s="9">
        <f t="shared" si="9"/>
        <v>0</v>
      </c>
      <c r="Z102" s="8"/>
      <c r="AA102" s="8"/>
      <c r="AB102" s="8"/>
      <c r="AC102" s="8"/>
      <c r="AD102" s="8"/>
    </row>
    <row r="103" spans="1:30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9">
        <f t="shared" si="5"/>
        <v>0</v>
      </c>
      <c r="V103" s="9">
        <f t="shared" si="6"/>
        <v>0</v>
      </c>
      <c r="W103" s="9">
        <f t="shared" si="7"/>
        <v>0</v>
      </c>
      <c r="X103" s="9">
        <f t="shared" si="8"/>
        <v>0</v>
      </c>
      <c r="Y103" s="9">
        <f t="shared" si="9"/>
        <v>0</v>
      </c>
      <c r="Z103" s="8"/>
      <c r="AA103" s="8"/>
      <c r="AB103" s="8"/>
      <c r="AC103" s="8"/>
      <c r="AD103" s="8"/>
    </row>
    <row r="104" spans="1:30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9">
        <f t="shared" si="5"/>
        <v>0</v>
      </c>
      <c r="V104" s="9">
        <f t="shared" si="6"/>
        <v>0</v>
      </c>
      <c r="W104" s="9">
        <f t="shared" si="7"/>
        <v>0</v>
      </c>
      <c r="X104" s="9">
        <f t="shared" si="8"/>
        <v>0</v>
      </c>
      <c r="Y104" s="9">
        <f t="shared" si="9"/>
        <v>0</v>
      </c>
      <c r="Z104" s="8"/>
      <c r="AA104" s="8"/>
      <c r="AB104" s="8"/>
      <c r="AC104" s="8"/>
      <c r="AD104" s="8"/>
    </row>
    <row r="105" spans="1:30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9">
        <f t="shared" si="5"/>
        <v>0</v>
      </c>
      <c r="V105" s="9">
        <f t="shared" si="6"/>
        <v>0</v>
      </c>
      <c r="W105" s="9">
        <f t="shared" si="7"/>
        <v>0</v>
      </c>
      <c r="X105" s="9">
        <f t="shared" si="8"/>
        <v>0</v>
      </c>
      <c r="Y105" s="9">
        <f t="shared" si="9"/>
        <v>0</v>
      </c>
      <c r="Z105" s="8"/>
      <c r="AA105" s="8"/>
      <c r="AB105" s="8"/>
      <c r="AC105" s="8"/>
      <c r="AD105" s="8"/>
    </row>
    <row r="106" spans="1:30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9">
        <f t="shared" si="5"/>
        <v>0</v>
      </c>
      <c r="V106" s="9">
        <f t="shared" si="6"/>
        <v>0</v>
      </c>
      <c r="W106" s="9">
        <f t="shared" si="7"/>
        <v>0</v>
      </c>
      <c r="X106" s="9">
        <f t="shared" si="8"/>
        <v>0</v>
      </c>
      <c r="Y106" s="9">
        <f t="shared" si="9"/>
        <v>0</v>
      </c>
      <c r="Z106" s="8"/>
      <c r="AA106" s="8"/>
      <c r="AB106" s="8"/>
      <c r="AC106" s="8"/>
      <c r="AD106" s="8"/>
    </row>
    <row r="107" spans="1:30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>
        <f t="shared" si="5"/>
        <v>0</v>
      </c>
      <c r="V107" s="9">
        <f t="shared" si="6"/>
        <v>0</v>
      </c>
      <c r="W107" s="9">
        <f t="shared" si="7"/>
        <v>0</v>
      </c>
      <c r="X107" s="9">
        <f t="shared" si="8"/>
        <v>0</v>
      </c>
      <c r="Y107" s="9">
        <f t="shared" si="9"/>
        <v>0</v>
      </c>
      <c r="Z107" s="8"/>
      <c r="AA107" s="8"/>
      <c r="AB107" s="8"/>
      <c r="AC107" s="8"/>
      <c r="AD107" s="8"/>
    </row>
    <row r="108" spans="1:30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9">
        <f t="shared" si="5"/>
        <v>0</v>
      </c>
      <c r="V108" s="9">
        <f t="shared" si="6"/>
        <v>0</v>
      </c>
      <c r="W108" s="9">
        <f t="shared" si="7"/>
        <v>0</v>
      </c>
      <c r="X108" s="9">
        <f t="shared" si="8"/>
        <v>0</v>
      </c>
      <c r="Y108" s="9">
        <f t="shared" si="9"/>
        <v>0</v>
      </c>
      <c r="Z108" s="8"/>
      <c r="AA108" s="8"/>
      <c r="AB108" s="8"/>
      <c r="AC108" s="8"/>
      <c r="AD108" s="8"/>
    </row>
    <row r="109" spans="1:30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>
        <f t="shared" si="5"/>
        <v>0</v>
      </c>
      <c r="V109" s="9">
        <f t="shared" si="6"/>
        <v>0</v>
      </c>
      <c r="W109" s="9">
        <f t="shared" si="7"/>
        <v>0</v>
      </c>
      <c r="X109" s="9">
        <f t="shared" si="8"/>
        <v>0</v>
      </c>
      <c r="Y109" s="9">
        <f t="shared" si="9"/>
        <v>0</v>
      </c>
      <c r="Z109" s="8"/>
      <c r="AA109" s="8"/>
      <c r="AB109" s="8"/>
      <c r="AC109" s="8"/>
      <c r="AD109" s="8"/>
    </row>
    <row r="110" spans="1:3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9">
        <f t="shared" si="5"/>
        <v>0</v>
      </c>
      <c r="V110" s="9">
        <f t="shared" si="6"/>
        <v>0</v>
      </c>
      <c r="W110" s="9">
        <f t="shared" si="7"/>
        <v>0</v>
      </c>
      <c r="X110" s="9">
        <f t="shared" si="8"/>
        <v>0</v>
      </c>
      <c r="Y110" s="9">
        <f t="shared" si="9"/>
        <v>0</v>
      </c>
      <c r="Z110" s="8"/>
      <c r="AA110" s="8"/>
      <c r="AB110" s="8"/>
      <c r="AC110" s="8"/>
      <c r="AD110" s="8"/>
    </row>
    <row r="111" spans="1:30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9">
        <f t="shared" si="5"/>
        <v>0</v>
      </c>
      <c r="V111" s="9">
        <f t="shared" si="6"/>
        <v>0</v>
      </c>
      <c r="W111" s="9">
        <f t="shared" si="7"/>
        <v>0</v>
      </c>
      <c r="X111" s="9">
        <f t="shared" si="8"/>
        <v>0</v>
      </c>
      <c r="Y111" s="9">
        <f t="shared" si="9"/>
        <v>0</v>
      </c>
      <c r="Z111" s="8"/>
      <c r="AA111" s="8"/>
      <c r="AB111" s="8"/>
      <c r="AC111" s="8"/>
      <c r="AD111" s="8"/>
    </row>
    <row r="112" spans="1:30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9">
        <f t="shared" si="5"/>
        <v>0</v>
      </c>
      <c r="V112" s="9">
        <f t="shared" si="6"/>
        <v>0</v>
      </c>
      <c r="W112" s="9">
        <f t="shared" si="7"/>
        <v>0</v>
      </c>
      <c r="X112" s="9">
        <f t="shared" si="8"/>
        <v>0</v>
      </c>
      <c r="Y112" s="9">
        <f t="shared" si="9"/>
        <v>0</v>
      </c>
      <c r="Z112" s="8"/>
      <c r="AA112" s="8"/>
      <c r="AB112" s="8"/>
      <c r="AC112" s="8"/>
      <c r="AD112" s="8"/>
    </row>
    <row r="113" spans="1:30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9">
        <f t="shared" si="5"/>
        <v>0</v>
      </c>
      <c r="V113" s="9">
        <f t="shared" si="6"/>
        <v>0</v>
      </c>
      <c r="W113" s="9">
        <f t="shared" si="7"/>
        <v>0</v>
      </c>
      <c r="X113" s="9">
        <f t="shared" si="8"/>
        <v>0</v>
      </c>
      <c r="Y113" s="9">
        <f t="shared" si="9"/>
        <v>0</v>
      </c>
      <c r="Z113" s="8"/>
      <c r="AA113" s="8"/>
      <c r="AB113" s="8"/>
      <c r="AC113" s="8"/>
      <c r="AD113" s="8"/>
    </row>
    <row r="114" spans="1:30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9">
        <f t="shared" si="5"/>
        <v>0</v>
      </c>
      <c r="V114" s="9">
        <f t="shared" si="6"/>
        <v>0</v>
      </c>
      <c r="W114" s="9">
        <f t="shared" si="7"/>
        <v>0</v>
      </c>
      <c r="X114" s="9">
        <f t="shared" si="8"/>
        <v>0</v>
      </c>
      <c r="Y114" s="9">
        <f t="shared" si="9"/>
        <v>0</v>
      </c>
      <c r="Z114" s="8"/>
      <c r="AA114" s="8"/>
      <c r="AB114" s="8"/>
      <c r="AC114" s="8"/>
      <c r="AD114" s="8"/>
    </row>
    <row r="115" spans="1:30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9">
        <f t="shared" si="5"/>
        <v>0</v>
      </c>
      <c r="V115" s="9">
        <f t="shared" si="6"/>
        <v>0</v>
      </c>
      <c r="W115" s="9">
        <f t="shared" si="7"/>
        <v>0</v>
      </c>
      <c r="X115" s="9">
        <f t="shared" si="8"/>
        <v>0</v>
      </c>
      <c r="Y115" s="9">
        <f t="shared" si="9"/>
        <v>0</v>
      </c>
      <c r="Z115" s="8"/>
      <c r="AA115" s="8"/>
      <c r="AB115" s="8"/>
      <c r="AC115" s="8"/>
      <c r="AD115" s="8"/>
    </row>
    <row r="116" spans="1:30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9">
        <f t="shared" si="5"/>
        <v>0</v>
      </c>
      <c r="V116" s="9">
        <f t="shared" si="6"/>
        <v>0</v>
      </c>
      <c r="W116" s="9">
        <f t="shared" si="7"/>
        <v>0</v>
      </c>
      <c r="X116" s="9">
        <f t="shared" si="8"/>
        <v>0</v>
      </c>
      <c r="Y116" s="9">
        <f t="shared" si="9"/>
        <v>0</v>
      </c>
      <c r="Z116" s="8"/>
      <c r="AA116" s="8"/>
      <c r="AB116" s="8"/>
      <c r="AC116" s="8"/>
      <c r="AD116" s="8"/>
    </row>
    <row r="117" spans="1:30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9">
        <f t="shared" si="5"/>
        <v>0</v>
      </c>
      <c r="V117" s="9">
        <f t="shared" si="6"/>
        <v>0</v>
      </c>
      <c r="W117" s="9">
        <f t="shared" si="7"/>
        <v>0</v>
      </c>
      <c r="X117" s="9">
        <f t="shared" si="8"/>
        <v>0</v>
      </c>
      <c r="Y117" s="9">
        <f t="shared" si="9"/>
        <v>0</v>
      </c>
      <c r="Z117" s="8"/>
      <c r="AA117" s="8"/>
      <c r="AB117" s="8"/>
      <c r="AC117" s="8"/>
      <c r="AD117" s="8"/>
    </row>
    <row r="118" spans="1:30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9">
        <f t="shared" si="5"/>
        <v>0</v>
      </c>
      <c r="V118" s="9">
        <f t="shared" si="6"/>
        <v>0</v>
      </c>
      <c r="W118" s="9">
        <f t="shared" si="7"/>
        <v>0</v>
      </c>
      <c r="X118" s="9">
        <f t="shared" si="8"/>
        <v>0</v>
      </c>
      <c r="Y118" s="9">
        <f t="shared" si="9"/>
        <v>0</v>
      </c>
      <c r="Z118" s="8"/>
      <c r="AA118" s="8"/>
      <c r="AB118" s="8"/>
      <c r="AC118" s="8"/>
      <c r="AD118" s="8"/>
    </row>
    <row r="119" spans="1:30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9">
        <f t="shared" si="5"/>
        <v>0</v>
      </c>
      <c r="V119" s="9">
        <f t="shared" si="6"/>
        <v>0</v>
      </c>
      <c r="W119" s="9">
        <f t="shared" si="7"/>
        <v>0</v>
      </c>
      <c r="X119" s="9">
        <f t="shared" si="8"/>
        <v>0</v>
      </c>
      <c r="Y119" s="9">
        <f t="shared" si="9"/>
        <v>0</v>
      </c>
      <c r="Z119" s="8"/>
      <c r="AA119" s="8"/>
      <c r="AB119" s="8"/>
      <c r="AC119" s="8"/>
      <c r="AD119" s="8"/>
    </row>
    <row r="120" spans="1:3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9">
        <f t="shared" si="5"/>
        <v>0</v>
      </c>
      <c r="V120" s="9">
        <f t="shared" si="6"/>
        <v>0</v>
      </c>
      <c r="W120" s="9">
        <f t="shared" si="7"/>
        <v>0</v>
      </c>
      <c r="X120" s="9">
        <f t="shared" si="8"/>
        <v>0</v>
      </c>
      <c r="Y120" s="9">
        <f t="shared" si="9"/>
        <v>0</v>
      </c>
      <c r="Z120" s="8"/>
      <c r="AA120" s="8"/>
      <c r="AB120" s="8"/>
      <c r="AC120" s="8"/>
      <c r="AD120" s="8"/>
    </row>
    <row r="121" spans="1:30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9">
        <f t="shared" si="5"/>
        <v>0</v>
      </c>
      <c r="V121" s="9">
        <f t="shared" si="6"/>
        <v>0</v>
      </c>
      <c r="W121" s="9">
        <f t="shared" si="7"/>
        <v>0</v>
      </c>
      <c r="X121" s="9">
        <f t="shared" si="8"/>
        <v>0</v>
      </c>
      <c r="Y121" s="9">
        <f t="shared" si="9"/>
        <v>0</v>
      </c>
      <c r="Z121" s="8"/>
      <c r="AA121" s="8"/>
      <c r="AB121" s="8"/>
      <c r="AC121" s="8"/>
      <c r="AD121" s="8"/>
    </row>
    <row r="122" spans="1:30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9">
        <f t="shared" si="5"/>
        <v>0</v>
      </c>
      <c r="V122" s="9">
        <f t="shared" si="6"/>
        <v>0</v>
      </c>
      <c r="W122" s="9">
        <f t="shared" si="7"/>
        <v>0</v>
      </c>
      <c r="X122" s="9">
        <f t="shared" si="8"/>
        <v>0</v>
      </c>
      <c r="Y122" s="9">
        <f t="shared" si="9"/>
        <v>0</v>
      </c>
      <c r="Z122" s="8"/>
      <c r="AA122" s="8"/>
      <c r="AB122" s="8"/>
      <c r="AC122" s="8"/>
      <c r="AD122" s="8"/>
    </row>
    <row r="123" spans="1:30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9">
        <f t="shared" si="5"/>
        <v>0</v>
      </c>
      <c r="V123" s="9">
        <f t="shared" si="6"/>
        <v>0</v>
      </c>
      <c r="W123" s="9">
        <f t="shared" si="7"/>
        <v>0</v>
      </c>
      <c r="X123" s="9">
        <f t="shared" si="8"/>
        <v>0</v>
      </c>
      <c r="Y123" s="9">
        <f t="shared" si="9"/>
        <v>0</v>
      </c>
      <c r="Z123" s="8"/>
      <c r="AA123" s="8"/>
      <c r="AB123" s="8"/>
      <c r="AC123" s="8"/>
      <c r="AD123" s="8"/>
    </row>
    <row r="124" spans="1:30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9">
        <f t="shared" si="5"/>
        <v>0</v>
      </c>
      <c r="V124" s="9">
        <f t="shared" si="6"/>
        <v>0</v>
      </c>
      <c r="W124" s="9">
        <f t="shared" si="7"/>
        <v>0</v>
      </c>
      <c r="X124" s="9">
        <f t="shared" si="8"/>
        <v>0</v>
      </c>
      <c r="Y124" s="9">
        <f t="shared" si="9"/>
        <v>0</v>
      </c>
      <c r="Z124" s="8"/>
      <c r="AA124" s="8"/>
      <c r="AB124" s="8"/>
      <c r="AC124" s="8"/>
      <c r="AD124" s="8"/>
    </row>
    <row r="125" spans="1:30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>
        <f t="shared" si="5"/>
        <v>0</v>
      </c>
      <c r="V125" s="9">
        <f t="shared" si="6"/>
        <v>0</v>
      </c>
      <c r="W125" s="9">
        <f t="shared" si="7"/>
        <v>0</v>
      </c>
      <c r="X125" s="9">
        <f t="shared" si="8"/>
        <v>0</v>
      </c>
      <c r="Y125" s="9">
        <f t="shared" si="9"/>
        <v>0</v>
      </c>
      <c r="Z125" s="8"/>
      <c r="AA125" s="8"/>
      <c r="AB125" s="8"/>
      <c r="AC125" s="8"/>
      <c r="AD125" s="8"/>
    </row>
    <row r="126" spans="1:30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9">
        <f t="shared" si="5"/>
        <v>0</v>
      </c>
      <c r="V126" s="9">
        <f t="shared" si="6"/>
        <v>0</v>
      </c>
      <c r="W126" s="9">
        <f t="shared" si="7"/>
        <v>0</v>
      </c>
      <c r="X126" s="9">
        <f t="shared" si="8"/>
        <v>0</v>
      </c>
      <c r="Y126" s="9">
        <f t="shared" si="9"/>
        <v>0</v>
      </c>
      <c r="Z126" s="8"/>
      <c r="AA126" s="8"/>
      <c r="AB126" s="8"/>
      <c r="AC126" s="8"/>
      <c r="AD126" s="8"/>
    </row>
    <row r="127" spans="1:30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>
        <f t="shared" si="5"/>
        <v>0</v>
      </c>
      <c r="V127" s="9">
        <f t="shared" si="6"/>
        <v>0</v>
      </c>
      <c r="W127" s="9">
        <f t="shared" si="7"/>
        <v>0</v>
      </c>
      <c r="X127" s="9">
        <f t="shared" si="8"/>
        <v>0</v>
      </c>
      <c r="Y127" s="9">
        <f t="shared" si="9"/>
        <v>0</v>
      </c>
      <c r="Z127" s="8"/>
      <c r="AA127" s="8"/>
      <c r="AB127" s="8"/>
      <c r="AC127" s="8"/>
      <c r="AD127" s="8"/>
    </row>
    <row r="128" spans="1:30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9">
        <f t="shared" si="5"/>
        <v>0</v>
      </c>
      <c r="V128" s="9">
        <f t="shared" si="6"/>
        <v>0</v>
      </c>
      <c r="W128" s="9">
        <f t="shared" si="7"/>
        <v>0</v>
      </c>
      <c r="X128" s="9">
        <f t="shared" si="8"/>
        <v>0</v>
      </c>
      <c r="Y128" s="9">
        <f t="shared" si="9"/>
        <v>0</v>
      </c>
      <c r="Z128" s="8"/>
      <c r="AA128" s="8"/>
      <c r="AB128" s="8"/>
      <c r="AC128" s="8"/>
      <c r="AD128" s="8"/>
    </row>
    <row r="129" spans="1:30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9">
        <f t="shared" si="5"/>
        <v>0</v>
      </c>
      <c r="V129" s="9">
        <f t="shared" si="6"/>
        <v>0</v>
      </c>
      <c r="W129" s="9">
        <f t="shared" si="7"/>
        <v>0</v>
      </c>
      <c r="X129" s="9">
        <f t="shared" si="8"/>
        <v>0</v>
      </c>
      <c r="Y129" s="9">
        <f t="shared" si="9"/>
        <v>0</v>
      </c>
      <c r="Z129" s="8"/>
      <c r="AA129" s="8"/>
      <c r="AB129" s="8"/>
      <c r="AC129" s="8"/>
      <c r="AD129" s="8"/>
    </row>
    <row r="130" spans="1: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9">
        <f t="shared" ref="U130:U193" si="10">H130*I130+K130*L130+M130*N130+O130*P130+Q130*R130+S130*T130</f>
        <v>0</v>
      </c>
      <c r="V130" s="9">
        <f t="shared" ref="V130:V193" si="11">IF(E130&gt;0,U130/E130*60,0)</f>
        <v>0</v>
      </c>
      <c r="W130" s="9">
        <f t="shared" ref="W130:W193" si="12">IF(E130&gt;0,F130/E130*60,0)</f>
        <v>0</v>
      </c>
      <c r="X130" s="9">
        <f t="shared" ref="X130:X193" si="13">IF(E130&gt;0,H130/E130*60,0)</f>
        <v>0</v>
      </c>
      <c r="Y130" s="9">
        <f t="shared" ref="Y130:Y193" si="14">IF(E130&gt;0,K130/E130*60,0)</f>
        <v>0</v>
      </c>
      <c r="Z130" s="8"/>
      <c r="AA130" s="8"/>
      <c r="AB130" s="8"/>
      <c r="AC130" s="8"/>
      <c r="AD130" s="8"/>
    </row>
    <row r="131" spans="1:30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9">
        <f t="shared" si="10"/>
        <v>0</v>
      </c>
      <c r="V131" s="9">
        <f t="shared" si="11"/>
        <v>0</v>
      </c>
      <c r="W131" s="9">
        <f t="shared" si="12"/>
        <v>0</v>
      </c>
      <c r="X131" s="9">
        <f t="shared" si="13"/>
        <v>0</v>
      </c>
      <c r="Y131" s="9">
        <f t="shared" si="14"/>
        <v>0</v>
      </c>
      <c r="Z131" s="8"/>
      <c r="AA131" s="8"/>
      <c r="AB131" s="8"/>
      <c r="AC131" s="8"/>
      <c r="AD131" s="8"/>
    </row>
    <row r="132" spans="1:30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9">
        <f t="shared" si="10"/>
        <v>0</v>
      </c>
      <c r="V132" s="9">
        <f t="shared" si="11"/>
        <v>0</v>
      </c>
      <c r="W132" s="9">
        <f t="shared" si="12"/>
        <v>0</v>
      </c>
      <c r="X132" s="9">
        <f t="shared" si="13"/>
        <v>0</v>
      </c>
      <c r="Y132" s="9">
        <f t="shared" si="14"/>
        <v>0</v>
      </c>
      <c r="Z132" s="8"/>
      <c r="AA132" s="8"/>
      <c r="AB132" s="8"/>
      <c r="AC132" s="8"/>
      <c r="AD132" s="8"/>
    </row>
    <row r="133" spans="1:30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9">
        <f t="shared" si="10"/>
        <v>0</v>
      </c>
      <c r="V133" s="9">
        <f t="shared" si="11"/>
        <v>0</v>
      </c>
      <c r="W133" s="9">
        <f t="shared" si="12"/>
        <v>0</v>
      </c>
      <c r="X133" s="9">
        <f t="shared" si="13"/>
        <v>0</v>
      </c>
      <c r="Y133" s="9">
        <f t="shared" si="14"/>
        <v>0</v>
      </c>
      <c r="Z133" s="8"/>
      <c r="AA133" s="8"/>
      <c r="AB133" s="8"/>
      <c r="AC133" s="8"/>
      <c r="AD133" s="8"/>
    </row>
    <row r="134" spans="1:30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9">
        <f t="shared" si="10"/>
        <v>0</v>
      </c>
      <c r="V134" s="9">
        <f t="shared" si="11"/>
        <v>0</v>
      </c>
      <c r="W134" s="9">
        <f t="shared" si="12"/>
        <v>0</v>
      </c>
      <c r="X134" s="9">
        <f t="shared" si="13"/>
        <v>0</v>
      </c>
      <c r="Y134" s="9">
        <f t="shared" si="14"/>
        <v>0</v>
      </c>
      <c r="Z134" s="8"/>
      <c r="AA134" s="8"/>
      <c r="AB134" s="8"/>
      <c r="AC134" s="8"/>
      <c r="AD134" s="8"/>
    </row>
    <row r="135" spans="1:30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9">
        <f t="shared" si="10"/>
        <v>0</v>
      </c>
      <c r="V135" s="9">
        <f t="shared" si="11"/>
        <v>0</v>
      </c>
      <c r="W135" s="9">
        <f t="shared" si="12"/>
        <v>0</v>
      </c>
      <c r="X135" s="9">
        <f t="shared" si="13"/>
        <v>0</v>
      </c>
      <c r="Y135" s="9">
        <f t="shared" si="14"/>
        <v>0</v>
      </c>
      <c r="Z135" s="8"/>
      <c r="AA135" s="8"/>
      <c r="AB135" s="8"/>
      <c r="AC135" s="8"/>
      <c r="AD135" s="8"/>
    </row>
    <row r="136" spans="1:30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9">
        <f t="shared" si="10"/>
        <v>0</v>
      </c>
      <c r="V136" s="9">
        <f t="shared" si="11"/>
        <v>0</v>
      </c>
      <c r="W136" s="9">
        <f t="shared" si="12"/>
        <v>0</v>
      </c>
      <c r="X136" s="9">
        <f t="shared" si="13"/>
        <v>0</v>
      </c>
      <c r="Y136" s="9">
        <f t="shared" si="14"/>
        <v>0</v>
      </c>
      <c r="Z136" s="8"/>
      <c r="AA136" s="8"/>
      <c r="AB136" s="8"/>
      <c r="AC136" s="8"/>
      <c r="AD136" s="8"/>
    </row>
    <row r="137" spans="1:30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9">
        <f t="shared" si="10"/>
        <v>0</v>
      </c>
      <c r="V137" s="9">
        <f t="shared" si="11"/>
        <v>0</v>
      </c>
      <c r="W137" s="9">
        <f t="shared" si="12"/>
        <v>0</v>
      </c>
      <c r="X137" s="9">
        <f t="shared" si="13"/>
        <v>0</v>
      </c>
      <c r="Y137" s="9">
        <f t="shared" si="14"/>
        <v>0</v>
      </c>
      <c r="Z137" s="8"/>
      <c r="AA137" s="8"/>
      <c r="AB137" s="8"/>
      <c r="AC137" s="8"/>
      <c r="AD137" s="8"/>
    </row>
    <row r="138" spans="1:30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9">
        <f t="shared" si="10"/>
        <v>0</v>
      </c>
      <c r="V138" s="9">
        <f t="shared" si="11"/>
        <v>0</v>
      </c>
      <c r="W138" s="9">
        <f t="shared" si="12"/>
        <v>0</v>
      </c>
      <c r="X138" s="9">
        <f t="shared" si="13"/>
        <v>0</v>
      </c>
      <c r="Y138" s="9">
        <f t="shared" si="14"/>
        <v>0</v>
      </c>
      <c r="Z138" s="8"/>
      <c r="AA138" s="8"/>
      <c r="AB138" s="8"/>
      <c r="AC138" s="8"/>
      <c r="AD138" s="8"/>
    </row>
    <row r="139" spans="1:30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9">
        <f t="shared" si="10"/>
        <v>0</v>
      </c>
      <c r="V139" s="9">
        <f t="shared" si="11"/>
        <v>0</v>
      </c>
      <c r="W139" s="9">
        <f t="shared" si="12"/>
        <v>0</v>
      </c>
      <c r="X139" s="9">
        <f t="shared" si="13"/>
        <v>0</v>
      </c>
      <c r="Y139" s="9">
        <f t="shared" si="14"/>
        <v>0</v>
      </c>
      <c r="Z139" s="8"/>
      <c r="AA139" s="8"/>
      <c r="AB139" s="8"/>
      <c r="AC139" s="8"/>
      <c r="AD139" s="8"/>
    </row>
    <row r="140" spans="1:3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9">
        <f t="shared" si="10"/>
        <v>0</v>
      </c>
      <c r="V140" s="9">
        <f t="shared" si="11"/>
        <v>0</v>
      </c>
      <c r="W140" s="9">
        <f t="shared" si="12"/>
        <v>0</v>
      </c>
      <c r="X140" s="9">
        <f t="shared" si="13"/>
        <v>0</v>
      </c>
      <c r="Y140" s="9">
        <f t="shared" si="14"/>
        <v>0</v>
      </c>
      <c r="Z140" s="8"/>
      <c r="AA140" s="8"/>
      <c r="AB140" s="8"/>
      <c r="AC140" s="8"/>
      <c r="AD140" s="8"/>
    </row>
    <row r="141" spans="1:30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>
        <f t="shared" si="10"/>
        <v>0</v>
      </c>
      <c r="V141" s="9">
        <f t="shared" si="11"/>
        <v>0</v>
      </c>
      <c r="W141" s="9">
        <f t="shared" si="12"/>
        <v>0</v>
      </c>
      <c r="X141" s="9">
        <f t="shared" si="13"/>
        <v>0</v>
      </c>
      <c r="Y141" s="9">
        <f t="shared" si="14"/>
        <v>0</v>
      </c>
      <c r="Z141" s="8"/>
      <c r="AA141" s="8"/>
      <c r="AB141" s="8"/>
      <c r="AC141" s="8"/>
      <c r="AD141" s="8"/>
    </row>
    <row r="142" spans="1:30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9">
        <f t="shared" si="10"/>
        <v>0</v>
      </c>
      <c r="V142" s="9">
        <f t="shared" si="11"/>
        <v>0</v>
      </c>
      <c r="W142" s="9">
        <f t="shared" si="12"/>
        <v>0</v>
      </c>
      <c r="X142" s="9">
        <f t="shared" si="13"/>
        <v>0</v>
      </c>
      <c r="Y142" s="9">
        <f t="shared" si="14"/>
        <v>0</v>
      </c>
      <c r="Z142" s="8"/>
      <c r="AA142" s="8"/>
      <c r="AB142" s="8"/>
      <c r="AC142" s="8"/>
      <c r="AD142" s="8"/>
    </row>
    <row r="143" spans="1:30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>
        <f t="shared" si="10"/>
        <v>0</v>
      </c>
      <c r="V143" s="9">
        <f t="shared" si="11"/>
        <v>0</v>
      </c>
      <c r="W143" s="9">
        <f t="shared" si="12"/>
        <v>0</v>
      </c>
      <c r="X143" s="9">
        <f t="shared" si="13"/>
        <v>0</v>
      </c>
      <c r="Y143" s="9">
        <f t="shared" si="14"/>
        <v>0</v>
      </c>
      <c r="Z143" s="8"/>
      <c r="AA143" s="8"/>
      <c r="AB143" s="8"/>
      <c r="AC143" s="8"/>
      <c r="AD143" s="8"/>
    </row>
    <row r="144" spans="1:30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>
        <f t="shared" si="10"/>
        <v>0</v>
      </c>
      <c r="V144" s="9">
        <f t="shared" si="11"/>
        <v>0</v>
      </c>
      <c r="W144" s="9">
        <f t="shared" si="12"/>
        <v>0</v>
      </c>
      <c r="X144" s="9">
        <f t="shared" si="13"/>
        <v>0</v>
      </c>
      <c r="Y144" s="9">
        <f t="shared" si="14"/>
        <v>0</v>
      </c>
      <c r="Z144" s="8"/>
      <c r="AA144" s="8"/>
      <c r="AB144" s="8"/>
      <c r="AC144" s="8"/>
      <c r="AD144" s="8"/>
    </row>
    <row r="145" spans="1:30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9">
        <f t="shared" si="10"/>
        <v>0</v>
      </c>
      <c r="V145" s="9">
        <f t="shared" si="11"/>
        <v>0</v>
      </c>
      <c r="W145" s="9">
        <f t="shared" si="12"/>
        <v>0</v>
      </c>
      <c r="X145" s="9">
        <f t="shared" si="13"/>
        <v>0</v>
      </c>
      <c r="Y145" s="9">
        <f t="shared" si="14"/>
        <v>0</v>
      </c>
      <c r="Z145" s="8"/>
      <c r="AA145" s="8"/>
      <c r="AB145" s="8"/>
      <c r="AC145" s="8"/>
      <c r="AD145" s="8"/>
    </row>
    <row r="146" spans="1:30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9">
        <f t="shared" si="10"/>
        <v>0</v>
      </c>
      <c r="V146" s="9">
        <f t="shared" si="11"/>
        <v>0</v>
      </c>
      <c r="W146" s="9">
        <f t="shared" si="12"/>
        <v>0</v>
      </c>
      <c r="X146" s="9">
        <f t="shared" si="13"/>
        <v>0</v>
      </c>
      <c r="Y146" s="9">
        <f t="shared" si="14"/>
        <v>0</v>
      </c>
      <c r="Z146" s="8"/>
      <c r="AA146" s="8"/>
      <c r="AB146" s="8"/>
      <c r="AC146" s="8"/>
      <c r="AD146" s="8"/>
    </row>
    <row r="147" spans="1:30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9">
        <f t="shared" si="10"/>
        <v>0</v>
      </c>
      <c r="V147" s="9">
        <f t="shared" si="11"/>
        <v>0</v>
      </c>
      <c r="W147" s="9">
        <f t="shared" si="12"/>
        <v>0</v>
      </c>
      <c r="X147" s="9">
        <f t="shared" si="13"/>
        <v>0</v>
      </c>
      <c r="Y147" s="9">
        <f t="shared" si="14"/>
        <v>0</v>
      </c>
      <c r="Z147" s="8"/>
      <c r="AA147" s="8"/>
      <c r="AB147" s="8"/>
      <c r="AC147" s="8"/>
      <c r="AD147" s="8"/>
    </row>
    <row r="148" spans="1:30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9">
        <f t="shared" si="10"/>
        <v>0</v>
      </c>
      <c r="V148" s="9">
        <f t="shared" si="11"/>
        <v>0</v>
      </c>
      <c r="W148" s="9">
        <f t="shared" si="12"/>
        <v>0</v>
      </c>
      <c r="X148" s="9">
        <f t="shared" si="13"/>
        <v>0</v>
      </c>
      <c r="Y148" s="9">
        <f t="shared" si="14"/>
        <v>0</v>
      </c>
      <c r="Z148" s="8"/>
      <c r="AA148" s="8"/>
      <c r="AB148" s="8"/>
      <c r="AC148" s="8"/>
      <c r="AD148" s="8"/>
    </row>
    <row r="149" spans="1:30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9">
        <f t="shared" si="10"/>
        <v>0</v>
      </c>
      <c r="V149" s="9">
        <f t="shared" si="11"/>
        <v>0</v>
      </c>
      <c r="W149" s="9">
        <f t="shared" si="12"/>
        <v>0</v>
      </c>
      <c r="X149" s="9">
        <f t="shared" si="13"/>
        <v>0</v>
      </c>
      <c r="Y149" s="9">
        <f t="shared" si="14"/>
        <v>0</v>
      </c>
      <c r="Z149" s="8"/>
      <c r="AA149" s="8"/>
      <c r="AB149" s="8"/>
      <c r="AC149" s="8"/>
      <c r="AD149" s="8"/>
    </row>
    <row r="150" spans="1:3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9">
        <f t="shared" si="10"/>
        <v>0</v>
      </c>
      <c r="V150" s="9">
        <f t="shared" si="11"/>
        <v>0</v>
      </c>
      <c r="W150" s="9">
        <f t="shared" si="12"/>
        <v>0</v>
      </c>
      <c r="X150" s="9">
        <f t="shared" si="13"/>
        <v>0</v>
      </c>
      <c r="Y150" s="9">
        <f t="shared" si="14"/>
        <v>0</v>
      </c>
      <c r="Z150" s="8"/>
      <c r="AA150" s="8"/>
      <c r="AB150" s="8"/>
      <c r="AC150" s="8"/>
      <c r="AD150" s="8"/>
    </row>
    <row r="151" spans="1:30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9">
        <f t="shared" si="10"/>
        <v>0</v>
      </c>
      <c r="V151" s="9">
        <f t="shared" si="11"/>
        <v>0</v>
      </c>
      <c r="W151" s="9">
        <f t="shared" si="12"/>
        <v>0</v>
      </c>
      <c r="X151" s="9">
        <f t="shared" si="13"/>
        <v>0</v>
      </c>
      <c r="Y151" s="9">
        <f t="shared" si="14"/>
        <v>0</v>
      </c>
      <c r="Z151" s="8"/>
      <c r="AA151" s="8"/>
      <c r="AB151" s="8"/>
      <c r="AC151" s="8"/>
      <c r="AD151" s="8"/>
    </row>
    <row r="152" spans="1:30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9">
        <f t="shared" si="10"/>
        <v>0</v>
      </c>
      <c r="V152" s="9">
        <f t="shared" si="11"/>
        <v>0</v>
      </c>
      <c r="W152" s="9">
        <f t="shared" si="12"/>
        <v>0</v>
      </c>
      <c r="X152" s="9">
        <f t="shared" si="13"/>
        <v>0</v>
      </c>
      <c r="Y152" s="9">
        <f t="shared" si="14"/>
        <v>0</v>
      </c>
      <c r="Z152" s="8"/>
      <c r="AA152" s="8"/>
      <c r="AB152" s="8"/>
      <c r="AC152" s="8"/>
      <c r="AD152" s="8"/>
    </row>
    <row r="153" spans="1:30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>
        <f t="shared" si="10"/>
        <v>0</v>
      </c>
      <c r="V153" s="9">
        <f t="shared" si="11"/>
        <v>0</v>
      </c>
      <c r="W153" s="9">
        <f t="shared" si="12"/>
        <v>0</v>
      </c>
      <c r="X153" s="9">
        <f t="shared" si="13"/>
        <v>0</v>
      </c>
      <c r="Y153" s="9">
        <f t="shared" si="14"/>
        <v>0</v>
      </c>
      <c r="Z153" s="8"/>
      <c r="AA153" s="8"/>
      <c r="AB153" s="8"/>
      <c r="AC153" s="8"/>
      <c r="AD153" s="8"/>
    </row>
    <row r="154" spans="1:30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>
        <f t="shared" si="10"/>
        <v>0</v>
      </c>
      <c r="V154" s="9">
        <f t="shared" si="11"/>
        <v>0</v>
      </c>
      <c r="W154" s="9">
        <f t="shared" si="12"/>
        <v>0</v>
      </c>
      <c r="X154" s="9">
        <f t="shared" si="13"/>
        <v>0</v>
      </c>
      <c r="Y154" s="9">
        <f t="shared" si="14"/>
        <v>0</v>
      </c>
      <c r="Z154" s="8"/>
      <c r="AA154" s="8"/>
      <c r="AB154" s="8"/>
      <c r="AC154" s="8"/>
      <c r="AD154" s="8"/>
    </row>
    <row r="155" spans="1:30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9">
        <f t="shared" si="10"/>
        <v>0</v>
      </c>
      <c r="V155" s="9">
        <f t="shared" si="11"/>
        <v>0</v>
      </c>
      <c r="W155" s="9">
        <f t="shared" si="12"/>
        <v>0</v>
      </c>
      <c r="X155" s="9">
        <f t="shared" si="13"/>
        <v>0</v>
      </c>
      <c r="Y155" s="9">
        <f t="shared" si="14"/>
        <v>0</v>
      </c>
      <c r="Z155" s="8"/>
      <c r="AA155" s="8"/>
      <c r="AB155" s="8"/>
      <c r="AC155" s="8"/>
      <c r="AD155" s="8"/>
    </row>
    <row r="156" spans="1:30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>
        <f t="shared" si="10"/>
        <v>0</v>
      </c>
      <c r="V156" s="9">
        <f t="shared" si="11"/>
        <v>0</v>
      </c>
      <c r="W156" s="9">
        <f t="shared" si="12"/>
        <v>0</v>
      </c>
      <c r="X156" s="9">
        <f t="shared" si="13"/>
        <v>0</v>
      </c>
      <c r="Y156" s="9">
        <f t="shared" si="14"/>
        <v>0</v>
      </c>
      <c r="Z156" s="8"/>
      <c r="AA156" s="8"/>
      <c r="AB156" s="8"/>
      <c r="AC156" s="8"/>
      <c r="AD156" s="8"/>
    </row>
    <row r="157" spans="1:30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>
        <f t="shared" si="10"/>
        <v>0</v>
      </c>
      <c r="V157" s="9">
        <f t="shared" si="11"/>
        <v>0</v>
      </c>
      <c r="W157" s="9">
        <f t="shared" si="12"/>
        <v>0</v>
      </c>
      <c r="X157" s="9">
        <f t="shared" si="13"/>
        <v>0</v>
      </c>
      <c r="Y157" s="9">
        <f t="shared" si="14"/>
        <v>0</v>
      </c>
      <c r="Z157" s="8"/>
      <c r="AA157" s="8"/>
      <c r="AB157" s="8"/>
      <c r="AC157" s="8"/>
      <c r="AD157" s="8"/>
    </row>
    <row r="158" spans="1:30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9">
        <f t="shared" si="10"/>
        <v>0</v>
      </c>
      <c r="V158" s="9">
        <f t="shared" si="11"/>
        <v>0</v>
      </c>
      <c r="W158" s="9">
        <f t="shared" si="12"/>
        <v>0</v>
      </c>
      <c r="X158" s="9">
        <f t="shared" si="13"/>
        <v>0</v>
      </c>
      <c r="Y158" s="9">
        <f t="shared" si="14"/>
        <v>0</v>
      </c>
      <c r="Z158" s="8"/>
      <c r="AA158" s="8"/>
      <c r="AB158" s="8"/>
      <c r="AC158" s="8"/>
      <c r="AD158" s="8"/>
    </row>
    <row r="159" spans="1:30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9">
        <f t="shared" si="10"/>
        <v>0</v>
      </c>
      <c r="V159" s="9">
        <f t="shared" si="11"/>
        <v>0</v>
      </c>
      <c r="W159" s="9">
        <f t="shared" si="12"/>
        <v>0</v>
      </c>
      <c r="X159" s="9">
        <f t="shared" si="13"/>
        <v>0</v>
      </c>
      <c r="Y159" s="9">
        <f t="shared" si="14"/>
        <v>0</v>
      </c>
      <c r="Z159" s="8"/>
      <c r="AA159" s="8"/>
      <c r="AB159" s="8"/>
      <c r="AC159" s="8"/>
      <c r="AD159" s="8"/>
    </row>
    <row r="160" spans="1:3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9">
        <f t="shared" si="10"/>
        <v>0</v>
      </c>
      <c r="V160" s="9">
        <f t="shared" si="11"/>
        <v>0</v>
      </c>
      <c r="W160" s="9">
        <f t="shared" si="12"/>
        <v>0</v>
      </c>
      <c r="X160" s="9">
        <f t="shared" si="13"/>
        <v>0</v>
      </c>
      <c r="Y160" s="9">
        <f t="shared" si="14"/>
        <v>0</v>
      </c>
      <c r="Z160" s="8"/>
      <c r="AA160" s="8"/>
      <c r="AB160" s="8"/>
      <c r="AC160" s="8"/>
      <c r="AD160" s="8"/>
    </row>
    <row r="161" spans="1:30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>
        <f t="shared" si="10"/>
        <v>0</v>
      </c>
      <c r="V161" s="9">
        <f t="shared" si="11"/>
        <v>0</v>
      </c>
      <c r="W161" s="9">
        <f t="shared" si="12"/>
        <v>0</v>
      </c>
      <c r="X161" s="9">
        <f t="shared" si="13"/>
        <v>0</v>
      </c>
      <c r="Y161" s="9">
        <f t="shared" si="14"/>
        <v>0</v>
      </c>
      <c r="Z161" s="8"/>
      <c r="AA161" s="8"/>
      <c r="AB161" s="8"/>
      <c r="AC161" s="8"/>
      <c r="AD161" s="8"/>
    </row>
    <row r="162" spans="1:30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9">
        <f t="shared" si="10"/>
        <v>0</v>
      </c>
      <c r="V162" s="9">
        <f t="shared" si="11"/>
        <v>0</v>
      </c>
      <c r="W162" s="9">
        <f t="shared" si="12"/>
        <v>0</v>
      </c>
      <c r="X162" s="9">
        <f t="shared" si="13"/>
        <v>0</v>
      </c>
      <c r="Y162" s="9">
        <f t="shared" si="14"/>
        <v>0</v>
      </c>
      <c r="Z162" s="8"/>
      <c r="AA162" s="8"/>
      <c r="AB162" s="8"/>
      <c r="AC162" s="8"/>
      <c r="AD162" s="8"/>
    </row>
    <row r="163" spans="1:30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>
        <f t="shared" si="10"/>
        <v>0</v>
      </c>
      <c r="V163" s="9">
        <f t="shared" si="11"/>
        <v>0</v>
      </c>
      <c r="W163" s="9">
        <f t="shared" si="12"/>
        <v>0</v>
      </c>
      <c r="X163" s="9">
        <f t="shared" si="13"/>
        <v>0</v>
      </c>
      <c r="Y163" s="9">
        <f t="shared" si="14"/>
        <v>0</v>
      </c>
      <c r="Z163" s="8"/>
      <c r="AA163" s="8"/>
      <c r="AB163" s="8"/>
      <c r="AC163" s="8"/>
      <c r="AD163" s="8"/>
    </row>
    <row r="164" spans="1:30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9">
        <f t="shared" si="10"/>
        <v>0</v>
      </c>
      <c r="V164" s="9">
        <f t="shared" si="11"/>
        <v>0</v>
      </c>
      <c r="W164" s="9">
        <f t="shared" si="12"/>
        <v>0</v>
      </c>
      <c r="X164" s="9">
        <f t="shared" si="13"/>
        <v>0</v>
      </c>
      <c r="Y164" s="9">
        <f t="shared" si="14"/>
        <v>0</v>
      </c>
      <c r="Z164" s="8"/>
      <c r="AA164" s="8"/>
      <c r="AB164" s="8"/>
      <c r="AC164" s="8"/>
      <c r="AD164" s="8"/>
    </row>
    <row r="165" spans="1:30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>
        <f t="shared" si="10"/>
        <v>0</v>
      </c>
      <c r="V165" s="9">
        <f t="shared" si="11"/>
        <v>0</v>
      </c>
      <c r="W165" s="9">
        <f t="shared" si="12"/>
        <v>0</v>
      </c>
      <c r="X165" s="9">
        <f t="shared" si="13"/>
        <v>0</v>
      </c>
      <c r="Y165" s="9">
        <f t="shared" si="14"/>
        <v>0</v>
      </c>
      <c r="Z165" s="8"/>
      <c r="AA165" s="8"/>
      <c r="AB165" s="8"/>
      <c r="AC165" s="8"/>
      <c r="AD165" s="8"/>
    </row>
    <row r="166" spans="1:30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>
        <f t="shared" si="10"/>
        <v>0</v>
      </c>
      <c r="V166" s="9">
        <f t="shared" si="11"/>
        <v>0</v>
      </c>
      <c r="W166" s="9">
        <f t="shared" si="12"/>
        <v>0</v>
      </c>
      <c r="X166" s="9">
        <f t="shared" si="13"/>
        <v>0</v>
      </c>
      <c r="Y166" s="9">
        <f t="shared" si="14"/>
        <v>0</v>
      </c>
      <c r="Z166" s="8"/>
      <c r="AA166" s="8"/>
      <c r="AB166" s="8"/>
      <c r="AC166" s="8"/>
      <c r="AD166" s="8"/>
    </row>
    <row r="167" spans="1:30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>
        <f t="shared" si="10"/>
        <v>0</v>
      </c>
      <c r="V167" s="9">
        <f t="shared" si="11"/>
        <v>0</v>
      </c>
      <c r="W167" s="9">
        <f t="shared" si="12"/>
        <v>0</v>
      </c>
      <c r="X167" s="9">
        <f t="shared" si="13"/>
        <v>0</v>
      </c>
      <c r="Y167" s="9">
        <f t="shared" si="14"/>
        <v>0</v>
      </c>
      <c r="Z167" s="8"/>
      <c r="AA167" s="8"/>
      <c r="AB167" s="8"/>
      <c r="AC167" s="8"/>
      <c r="AD167" s="8"/>
    </row>
    <row r="168" spans="1:30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9">
        <f t="shared" si="10"/>
        <v>0</v>
      </c>
      <c r="V168" s="9">
        <f t="shared" si="11"/>
        <v>0</v>
      </c>
      <c r="W168" s="9">
        <f t="shared" si="12"/>
        <v>0</v>
      </c>
      <c r="X168" s="9">
        <f t="shared" si="13"/>
        <v>0</v>
      </c>
      <c r="Y168" s="9">
        <f t="shared" si="14"/>
        <v>0</v>
      </c>
      <c r="Z168" s="8"/>
      <c r="AA168" s="8"/>
      <c r="AB168" s="8"/>
      <c r="AC168" s="8"/>
      <c r="AD168" s="8"/>
    </row>
    <row r="169" spans="1:30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9">
        <f t="shared" si="10"/>
        <v>0</v>
      </c>
      <c r="V169" s="9">
        <f t="shared" si="11"/>
        <v>0</v>
      </c>
      <c r="W169" s="9">
        <f t="shared" si="12"/>
        <v>0</v>
      </c>
      <c r="X169" s="9">
        <f t="shared" si="13"/>
        <v>0</v>
      </c>
      <c r="Y169" s="9">
        <f t="shared" si="14"/>
        <v>0</v>
      </c>
      <c r="Z169" s="8"/>
      <c r="AA169" s="8"/>
      <c r="AB169" s="8"/>
      <c r="AC169" s="8"/>
      <c r="AD169" s="8"/>
    </row>
    <row r="170" spans="1:3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9">
        <f t="shared" si="10"/>
        <v>0</v>
      </c>
      <c r="V170" s="9">
        <f t="shared" si="11"/>
        <v>0</v>
      </c>
      <c r="W170" s="9">
        <f t="shared" si="12"/>
        <v>0</v>
      </c>
      <c r="X170" s="9">
        <f t="shared" si="13"/>
        <v>0</v>
      </c>
      <c r="Y170" s="9">
        <f t="shared" si="14"/>
        <v>0</v>
      </c>
      <c r="Z170" s="8"/>
      <c r="AA170" s="8"/>
      <c r="AB170" s="8"/>
      <c r="AC170" s="8"/>
      <c r="AD170" s="8"/>
    </row>
    <row r="171" spans="1:30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>
        <f t="shared" si="10"/>
        <v>0</v>
      </c>
      <c r="V171" s="9">
        <f t="shared" si="11"/>
        <v>0</v>
      </c>
      <c r="W171" s="9">
        <f t="shared" si="12"/>
        <v>0</v>
      </c>
      <c r="X171" s="9">
        <f t="shared" si="13"/>
        <v>0</v>
      </c>
      <c r="Y171" s="9">
        <f t="shared" si="14"/>
        <v>0</v>
      </c>
      <c r="Z171" s="8"/>
      <c r="AA171" s="8"/>
      <c r="AB171" s="8"/>
      <c r="AC171" s="8"/>
      <c r="AD171" s="8"/>
    </row>
    <row r="172" spans="1:30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>
        <f t="shared" si="10"/>
        <v>0</v>
      </c>
      <c r="V172" s="9">
        <f t="shared" si="11"/>
        <v>0</v>
      </c>
      <c r="W172" s="9">
        <f t="shared" si="12"/>
        <v>0</v>
      </c>
      <c r="X172" s="9">
        <f t="shared" si="13"/>
        <v>0</v>
      </c>
      <c r="Y172" s="9">
        <f t="shared" si="14"/>
        <v>0</v>
      </c>
      <c r="Z172" s="8"/>
      <c r="AA172" s="8"/>
      <c r="AB172" s="8"/>
      <c r="AC172" s="8"/>
      <c r="AD172" s="8"/>
    </row>
    <row r="173" spans="1:30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>
        <f t="shared" si="10"/>
        <v>0</v>
      </c>
      <c r="V173" s="9">
        <f t="shared" si="11"/>
        <v>0</v>
      </c>
      <c r="W173" s="9">
        <f t="shared" si="12"/>
        <v>0</v>
      </c>
      <c r="X173" s="9">
        <f t="shared" si="13"/>
        <v>0</v>
      </c>
      <c r="Y173" s="9">
        <f t="shared" si="14"/>
        <v>0</v>
      </c>
      <c r="Z173" s="8"/>
      <c r="AA173" s="8"/>
      <c r="AB173" s="8"/>
      <c r="AC173" s="8"/>
      <c r="AD173" s="8"/>
    </row>
    <row r="174" spans="1:30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>
        <f t="shared" si="10"/>
        <v>0</v>
      </c>
      <c r="V174" s="9">
        <f t="shared" si="11"/>
        <v>0</v>
      </c>
      <c r="W174" s="9">
        <f t="shared" si="12"/>
        <v>0</v>
      </c>
      <c r="X174" s="9">
        <f t="shared" si="13"/>
        <v>0</v>
      </c>
      <c r="Y174" s="9">
        <f t="shared" si="14"/>
        <v>0</v>
      </c>
      <c r="Z174" s="8"/>
      <c r="AA174" s="8"/>
      <c r="AB174" s="8"/>
      <c r="AC174" s="8"/>
      <c r="AD174" s="8"/>
    </row>
    <row r="175" spans="1:30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>
        <f t="shared" si="10"/>
        <v>0</v>
      </c>
      <c r="V175" s="9">
        <f t="shared" si="11"/>
        <v>0</v>
      </c>
      <c r="W175" s="9">
        <f t="shared" si="12"/>
        <v>0</v>
      </c>
      <c r="X175" s="9">
        <f t="shared" si="13"/>
        <v>0</v>
      </c>
      <c r="Y175" s="9">
        <f t="shared" si="14"/>
        <v>0</v>
      </c>
      <c r="Z175" s="8"/>
      <c r="AA175" s="8"/>
      <c r="AB175" s="8"/>
      <c r="AC175" s="8"/>
      <c r="AD175" s="8"/>
    </row>
    <row r="176" spans="1:30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9">
        <f t="shared" si="10"/>
        <v>0</v>
      </c>
      <c r="V176" s="9">
        <f t="shared" si="11"/>
        <v>0</v>
      </c>
      <c r="W176" s="9">
        <f t="shared" si="12"/>
        <v>0</v>
      </c>
      <c r="X176" s="9">
        <f t="shared" si="13"/>
        <v>0</v>
      </c>
      <c r="Y176" s="9">
        <f t="shared" si="14"/>
        <v>0</v>
      </c>
      <c r="Z176" s="8"/>
      <c r="AA176" s="8"/>
      <c r="AB176" s="8"/>
      <c r="AC176" s="8"/>
      <c r="AD176" s="8"/>
    </row>
    <row r="177" spans="1:30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9">
        <f t="shared" si="10"/>
        <v>0</v>
      </c>
      <c r="V177" s="9">
        <f t="shared" si="11"/>
        <v>0</v>
      </c>
      <c r="W177" s="9">
        <f t="shared" si="12"/>
        <v>0</v>
      </c>
      <c r="X177" s="9">
        <f t="shared" si="13"/>
        <v>0</v>
      </c>
      <c r="Y177" s="9">
        <f t="shared" si="14"/>
        <v>0</v>
      </c>
      <c r="Z177" s="8"/>
      <c r="AA177" s="8"/>
      <c r="AB177" s="8"/>
      <c r="AC177" s="8"/>
      <c r="AD177" s="8"/>
    </row>
    <row r="178" spans="1:30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9">
        <f t="shared" si="10"/>
        <v>0</v>
      </c>
      <c r="V178" s="9">
        <f t="shared" si="11"/>
        <v>0</v>
      </c>
      <c r="W178" s="9">
        <f t="shared" si="12"/>
        <v>0</v>
      </c>
      <c r="X178" s="9">
        <f t="shared" si="13"/>
        <v>0</v>
      </c>
      <c r="Y178" s="9">
        <f t="shared" si="14"/>
        <v>0</v>
      </c>
      <c r="Z178" s="8"/>
      <c r="AA178" s="8"/>
      <c r="AB178" s="8"/>
      <c r="AC178" s="8"/>
      <c r="AD178" s="8"/>
    </row>
    <row r="179" spans="1:30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>
        <f t="shared" si="10"/>
        <v>0</v>
      </c>
      <c r="V179" s="9">
        <f t="shared" si="11"/>
        <v>0</v>
      </c>
      <c r="W179" s="9">
        <f t="shared" si="12"/>
        <v>0</v>
      </c>
      <c r="X179" s="9">
        <f t="shared" si="13"/>
        <v>0</v>
      </c>
      <c r="Y179" s="9">
        <f t="shared" si="14"/>
        <v>0</v>
      </c>
      <c r="Z179" s="8"/>
      <c r="AA179" s="8"/>
      <c r="AB179" s="8"/>
      <c r="AC179" s="8"/>
      <c r="AD179" s="8"/>
    </row>
    <row r="180" spans="1:3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9">
        <f t="shared" si="10"/>
        <v>0</v>
      </c>
      <c r="V180" s="9">
        <f t="shared" si="11"/>
        <v>0</v>
      </c>
      <c r="W180" s="9">
        <f t="shared" si="12"/>
        <v>0</v>
      </c>
      <c r="X180" s="9">
        <f t="shared" si="13"/>
        <v>0</v>
      </c>
      <c r="Y180" s="9">
        <f t="shared" si="14"/>
        <v>0</v>
      </c>
      <c r="Z180" s="8"/>
      <c r="AA180" s="8"/>
      <c r="AB180" s="8"/>
      <c r="AC180" s="8"/>
      <c r="AD180" s="8"/>
    </row>
    <row r="181" spans="1:30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9">
        <f t="shared" si="10"/>
        <v>0</v>
      </c>
      <c r="V181" s="9">
        <f t="shared" si="11"/>
        <v>0</v>
      </c>
      <c r="W181" s="9">
        <f t="shared" si="12"/>
        <v>0</v>
      </c>
      <c r="X181" s="9">
        <f t="shared" si="13"/>
        <v>0</v>
      </c>
      <c r="Y181" s="9">
        <f t="shared" si="14"/>
        <v>0</v>
      </c>
      <c r="Z181" s="8"/>
      <c r="AA181" s="8"/>
      <c r="AB181" s="8"/>
      <c r="AC181" s="8"/>
      <c r="AD181" s="8"/>
    </row>
    <row r="182" spans="1:30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9">
        <f t="shared" si="10"/>
        <v>0</v>
      </c>
      <c r="V182" s="9">
        <f t="shared" si="11"/>
        <v>0</v>
      </c>
      <c r="W182" s="9">
        <f t="shared" si="12"/>
        <v>0</v>
      </c>
      <c r="X182" s="9">
        <f t="shared" si="13"/>
        <v>0</v>
      </c>
      <c r="Y182" s="9">
        <f t="shared" si="14"/>
        <v>0</v>
      </c>
      <c r="Z182" s="8"/>
      <c r="AA182" s="8"/>
      <c r="AB182" s="8"/>
      <c r="AC182" s="8"/>
      <c r="AD182" s="8"/>
    </row>
    <row r="183" spans="1:30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9">
        <f t="shared" si="10"/>
        <v>0</v>
      </c>
      <c r="V183" s="9">
        <f t="shared" si="11"/>
        <v>0</v>
      </c>
      <c r="W183" s="9">
        <f t="shared" si="12"/>
        <v>0</v>
      </c>
      <c r="X183" s="9">
        <f t="shared" si="13"/>
        <v>0</v>
      </c>
      <c r="Y183" s="9">
        <f t="shared" si="14"/>
        <v>0</v>
      </c>
      <c r="Z183" s="8"/>
      <c r="AA183" s="8"/>
      <c r="AB183" s="8"/>
      <c r="AC183" s="8"/>
      <c r="AD183" s="8"/>
    </row>
    <row r="184" spans="1:30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9">
        <f t="shared" si="10"/>
        <v>0</v>
      </c>
      <c r="V184" s="9">
        <f t="shared" si="11"/>
        <v>0</v>
      </c>
      <c r="W184" s="9">
        <f t="shared" si="12"/>
        <v>0</v>
      </c>
      <c r="X184" s="9">
        <f t="shared" si="13"/>
        <v>0</v>
      </c>
      <c r="Y184" s="9">
        <f t="shared" si="14"/>
        <v>0</v>
      </c>
      <c r="Z184" s="8"/>
      <c r="AA184" s="8"/>
      <c r="AB184" s="8"/>
      <c r="AC184" s="8"/>
      <c r="AD184" s="8"/>
    </row>
    <row r="185" spans="1:30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>
        <f t="shared" si="10"/>
        <v>0</v>
      </c>
      <c r="V185" s="9">
        <f t="shared" si="11"/>
        <v>0</v>
      </c>
      <c r="W185" s="9">
        <f t="shared" si="12"/>
        <v>0</v>
      </c>
      <c r="X185" s="9">
        <f t="shared" si="13"/>
        <v>0</v>
      </c>
      <c r="Y185" s="9">
        <f t="shared" si="14"/>
        <v>0</v>
      </c>
      <c r="Z185" s="8"/>
      <c r="AA185" s="8"/>
      <c r="AB185" s="8"/>
      <c r="AC185" s="8"/>
      <c r="AD185" s="8"/>
    </row>
    <row r="186" spans="1:30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>
        <f t="shared" si="10"/>
        <v>0</v>
      </c>
      <c r="V186" s="9">
        <f t="shared" si="11"/>
        <v>0</v>
      </c>
      <c r="W186" s="9">
        <f t="shared" si="12"/>
        <v>0</v>
      </c>
      <c r="X186" s="9">
        <f t="shared" si="13"/>
        <v>0</v>
      </c>
      <c r="Y186" s="9">
        <f t="shared" si="14"/>
        <v>0</v>
      </c>
      <c r="Z186" s="8"/>
      <c r="AA186" s="8"/>
      <c r="AB186" s="8"/>
      <c r="AC186" s="8"/>
      <c r="AD186" s="8"/>
    </row>
    <row r="187" spans="1:30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9">
        <f t="shared" si="10"/>
        <v>0</v>
      </c>
      <c r="V187" s="9">
        <f t="shared" si="11"/>
        <v>0</v>
      </c>
      <c r="W187" s="9">
        <f t="shared" si="12"/>
        <v>0</v>
      </c>
      <c r="X187" s="9">
        <f t="shared" si="13"/>
        <v>0</v>
      </c>
      <c r="Y187" s="9">
        <f t="shared" si="14"/>
        <v>0</v>
      </c>
      <c r="Z187" s="8"/>
      <c r="AA187" s="8"/>
      <c r="AB187" s="8"/>
      <c r="AC187" s="8"/>
      <c r="AD187" s="8"/>
    </row>
    <row r="188" spans="1:30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9">
        <f t="shared" si="10"/>
        <v>0</v>
      </c>
      <c r="V188" s="9">
        <f t="shared" si="11"/>
        <v>0</v>
      </c>
      <c r="W188" s="9">
        <f t="shared" si="12"/>
        <v>0</v>
      </c>
      <c r="X188" s="9">
        <f t="shared" si="13"/>
        <v>0</v>
      </c>
      <c r="Y188" s="9">
        <f t="shared" si="14"/>
        <v>0</v>
      </c>
      <c r="Z188" s="8"/>
      <c r="AA188" s="8"/>
      <c r="AB188" s="8"/>
      <c r="AC188" s="8"/>
      <c r="AD188" s="8"/>
    </row>
    <row r="189" spans="1:30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>
        <f t="shared" si="10"/>
        <v>0</v>
      </c>
      <c r="V189" s="9">
        <f t="shared" si="11"/>
        <v>0</v>
      </c>
      <c r="W189" s="9">
        <f t="shared" si="12"/>
        <v>0</v>
      </c>
      <c r="X189" s="9">
        <f t="shared" si="13"/>
        <v>0</v>
      </c>
      <c r="Y189" s="9">
        <f t="shared" si="14"/>
        <v>0</v>
      </c>
      <c r="Z189" s="8"/>
      <c r="AA189" s="8"/>
      <c r="AB189" s="8"/>
      <c r="AC189" s="8"/>
      <c r="AD189" s="8"/>
    </row>
    <row r="190" spans="1:3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>
        <f t="shared" si="10"/>
        <v>0</v>
      </c>
      <c r="V190" s="9">
        <f t="shared" si="11"/>
        <v>0</v>
      </c>
      <c r="W190" s="9">
        <f t="shared" si="12"/>
        <v>0</v>
      </c>
      <c r="X190" s="9">
        <f t="shared" si="13"/>
        <v>0</v>
      </c>
      <c r="Y190" s="9">
        <f t="shared" si="14"/>
        <v>0</v>
      </c>
      <c r="Z190" s="8"/>
      <c r="AA190" s="8"/>
      <c r="AB190" s="8"/>
      <c r="AC190" s="8"/>
      <c r="AD190" s="8"/>
    </row>
    <row r="191" spans="1:30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>
        <f t="shared" si="10"/>
        <v>0</v>
      </c>
      <c r="V191" s="9">
        <f t="shared" si="11"/>
        <v>0</v>
      </c>
      <c r="W191" s="9">
        <f t="shared" si="12"/>
        <v>0</v>
      </c>
      <c r="X191" s="9">
        <f t="shared" si="13"/>
        <v>0</v>
      </c>
      <c r="Y191" s="9">
        <f t="shared" si="14"/>
        <v>0</v>
      </c>
      <c r="Z191" s="8"/>
      <c r="AA191" s="8"/>
      <c r="AB191" s="8"/>
      <c r="AC191" s="8"/>
      <c r="AD191" s="8"/>
    </row>
    <row r="192" spans="1:30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9">
        <f t="shared" si="10"/>
        <v>0</v>
      </c>
      <c r="V192" s="9">
        <f t="shared" si="11"/>
        <v>0</v>
      </c>
      <c r="W192" s="9">
        <f t="shared" si="12"/>
        <v>0</v>
      </c>
      <c r="X192" s="9">
        <f t="shared" si="13"/>
        <v>0</v>
      </c>
      <c r="Y192" s="9">
        <f t="shared" si="14"/>
        <v>0</v>
      </c>
      <c r="Z192" s="8"/>
      <c r="AA192" s="8"/>
      <c r="AB192" s="8"/>
      <c r="AC192" s="8"/>
      <c r="AD192" s="8"/>
    </row>
    <row r="193" spans="1:30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9">
        <f t="shared" si="10"/>
        <v>0</v>
      </c>
      <c r="V193" s="9">
        <f t="shared" si="11"/>
        <v>0</v>
      </c>
      <c r="W193" s="9">
        <f t="shared" si="12"/>
        <v>0</v>
      </c>
      <c r="X193" s="9">
        <f t="shared" si="13"/>
        <v>0</v>
      </c>
      <c r="Y193" s="9">
        <f t="shared" si="14"/>
        <v>0</v>
      </c>
      <c r="Z193" s="8"/>
      <c r="AA193" s="8"/>
      <c r="AB193" s="8"/>
      <c r="AC193" s="8"/>
      <c r="AD193" s="8"/>
    </row>
    <row r="194" spans="1:30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9">
        <f t="shared" ref="U194:U257" si="15">H194*I194+K194*L194+M194*N194+O194*P194+Q194*R194+S194*T194</f>
        <v>0</v>
      </c>
      <c r="V194" s="9">
        <f t="shared" ref="V194:V257" si="16">IF(E194&gt;0,U194/E194*60,0)</f>
        <v>0</v>
      </c>
      <c r="W194" s="9">
        <f t="shared" ref="W194:W257" si="17">IF(E194&gt;0,F194/E194*60,0)</f>
        <v>0</v>
      </c>
      <c r="X194" s="9">
        <f t="shared" ref="X194:X257" si="18">IF(E194&gt;0,H194/E194*60,0)</f>
        <v>0</v>
      </c>
      <c r="Y194" s="9">
        <f t="shared" ref="Y194:Y257" si="19">IF(E194&gt;0,K194/E194*60,0)</f>
        <v>0</v>
      </c>
      <c r="Z194" s="8"/>
      <c r="AA194" s="8"/>
      <c r="AB194" s="8"/>
      <c r="AC194" s="8"/>
      <c r="AD194" s="8"/>
    </row>
    <row r="195" spans="1:30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>
        <f t="shared" si="15"/>
        <v>0</v>
      </c>
      <c r="V195" s="9">
        <f t="shared" si="16"/>
        <v>0</v>
      </c>
      <c r="W195" s="9">
        <f t="shared" si="17"/>
        <v>0</v>
      </c>
      <c r="X195" s="9">
        <f t="shared" si="18"/>
        <v>0</v>
      </c>
      <c r="Y195" s="9">
        <f t="shared" si="19"/>
        <v>0</v>
      </c>
      <c r="Z195" s="8"/>
      <c r="AA195" s="8"/>
      <c r="AB195" s="8"/>
      <c r="AC195" s="8"/>
      <c r="AD195" s="8"/>
    </row>
    <row r="196" spans="1:30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>
        <f t="shared" si="15"/>
        <v>0</v>
      </c>
      <c r="V196" s="9">
        <f t="shared" si="16"/>
        <v>0</v>
      </c>
      <c r="W196" s="9">
        <f t="shared" si="17"/>
        <v>0</v>
      </c>
      <c r="X196" s="9">
        <f t="shared" si="18"/>
        <v>0</v>
      </c>
      <c r="Y196" s="9">
        <f t="shared" si="19"/>
        <v>0</v>
      </c>
      <c r="Z196" s="8"/>
      <c r="AA196" s="8"/>
      <c r="AB196" s="8"/>
      <c r="AC196" s="8"/>
      <c r="AD196" s="8"/>
    </row>
    <row r="197" spans="1:30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>
        <f t="shared" si="15"/>
        <v>0</v>
      </c>
      <c r="V197" s="9">
        <f t="shared" si="16"/>
        <v>0</v>
      </c>
      <c r="W197" s="9">
        <f t="shared" si="17"/>
        <v>0</v>
      </c>
      <c r="X197" s="9">
        <f t="shared" si="18"/>
        <v>0</v>
      </c>
      <c r="Y197" s="9">
        <f t="shared" si="19"/>
        <v>0</v>
      </c>
      <c r="Z197" s="8"/>
      <c r="AA197" s="8"/>
      <c r="AB197" s="8"/>
      <c r="AC197" s="8"/>
      <c r="AD197" s="8"/>
    </row>
    <row r="198" spans="1:30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9">
        <f t="shared" si="15"/>
        <v>0</v>
      </c>
      <c r="V198" s="9">
        <f t="shared" si="16"/>
        <v>0</v>
      </c>
      <c r="W198" s="9">
        <f t="shared" si="17"/>
        <v>0</v>
      </c>
      <c r="X198" s="9">
        <f t="shared" si="18"/>
        <v>0</v>
      </c>
      <c r="Y198" s="9">
        <f t="shared" si="19"/>
        <v>0</v>
      </c>
      <c r="Z198" s="8"/>
      <c r="AA198" s="8"/>
      <c r="AB198" s="8"/>
      <c r="AC198" s="8"/>
      <c r="AD198" s="8"/>
    </row>
    <row r="199" spans="1:30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9">
        <f t="shared" si="15"/>
        <v>0</v>
      </c>
      <c r="V199" s="9">
        <f t="shared" si="16"/>
        <v>0</v>
      </c>
      <c r="W199" s="9">
        <f t="shared" si="17"/>
        <v>0</v>
      </c>
      <c r="X199" s="9">
        <f t="shared" si="18"/>
        <v>0</v>
      </c>
      <c r="Y199" s="9">
        <f t="shared" si="19"/>
        <v>0</v>
      </c>
      <c r="Z199" s="8"/>
      <c r="AA199" s="8"/>
      <c r="AB199" s="8"/>
      <c r="AC199" s="8"/>
      <c r="AD199" s="8"/>
    </row>
    <row r="200" spans="1:3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9">
        <f t="shared" si="15"/>
        <v>0</v>
      </c>
      <c r="V200" s="9">
        <f t="shared" si="16"/>
        <v>0</v>
      </c>
      <c r="W200" s="9">
        <f t="shared" si="17"/>
        <v>0</v>
      </c>
      <c r="X200" s="9">
        <f t="shared" si="18"/>
        <v>0</v>
      </c>
      <c r="Y200" s="9">
        <f t="shared" si="19"/>
        <v>0</v>
      </c>
      <c r="Z200" s="8"/>
      <c r="AA200" s="8"/>
      <c r="AB200" s="8"/>
      <c r="AC200" s="8"/>
      <c r="AD200" s="8"/>
    </row>
    <row r="201" spans="1:30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>
        <f t="shared" si="15"/>
        <v>0</v>
      </c>
      <c r="V201" s="9">
        <f t="shared" si="16"/>
        <v>0</v>
      </c>
      <c r="W201" s="9">
        <f t="shared" si="17"/>
        <v>0</v>
      </c>
      <c r="X201" s="9">
        <f t="shared" si="18"/>
        <v>0</v>
      </c>
      <c r="Y201" s="9">
        <f t="shared" si="19"/>
        <v>0</v>
      </c>
      <c r="Z201" s="8"/>
      <c r="AA201" s="8"/>
      <c r="AB201" s="8"/>
      <c r="AC201" s="8"/>
      <c r="AD201" s="8"/>
    </row>
    <row r="202" spans="1:30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>
        <f t="shared" si="15"/>
        <v>0</v>
      </c>
      <c r="V202" s="9">
        <f t="shared" si="16"/>
        <v>0</v>
      </c>
      <c r="W202" s="9">
        <f t="shared" si="17"/>
        <v>0</v>
      </c>
      <c r="X202" s="9">
        <f t="shared" si="18"/>
        <v>0</v>
      </c>
      <c r="Y202" s="9">
        <f t="shared" si="19"/>
        <v>0</v>
      </c>
      <c r="Z202" s="8"/>
      <c r="AA202" s="8"/>
      <c r="AB202" s="8"/>
      <c r="AC202" s="8"/>
      <c r="AD202" s="8"/>
    </row>
    <row r="203" spans="1:30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>
        <f t="shared" si="15"/>
        <v>0</v>
      </c>
      <c r="V203" s="9">
        <f t="shared" si="16"/>
        <v>0</v>
      </c>
      <c r="W203" s="9">
        <f t="shared" si="17"/>
        <v>0</v>
      </c>
      <c r="X203" s="9">
        <f t="shared" si="18"/>
        <v>0</v>
      </c>
      <c r="Y203" s="9">
        <f t="shared" si="19"/>
        <v>0</v>
      </c>
      <c r="Z203" s="8"/>
      <c r="AA203" s="8"/>
      <c r="AB203" s="8"/>
      <c r="AC203" s="8"/>
      <c r="AD203" s="8"/>
    </row>
    <row r="204" spans="1:30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9">
        <f t="shared" si="15"/>
        <v>0</v>
      </c>
      <c r="V204" s="9">
        <f t="shared" si="16"/>
        <v>0</v>
      </c>
      <c r="W204" s="9">
        <f t="shared" si="17"/>
        <v>0</v>
      </c>
      <c r="X204" s="9">
        <f t="shared" si="18"/>
        <v>0</v>
      </c>
      <c r="Y204" s="9">
        <f t="shared" si="19"/>
        <v>0</v>
      </c>
      <c r="Z204" s="8"/>
      <c r="AA204" s="8"/>
      <c r="AB204" s="8"/>
      <c r="AC204" s="8"/>
      <c r="AD204" s="8"/>
    </row>
    <row r="205" spans="1:30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9">
        <f t="shared" si="15"/>
        <v>0</v>
      </c>
      <c r="V205" s="9">
        <f t="shared" si="16"/>
        <v>0</v>
      </c>
      <c r="W205" s="9">
        <f t="shared" si="17"/>
        <v>0</v>
      </c>
      <c r="X205" s="9">
        <f t="shared" si="18"/>
        <v>0</v>
      </c>
      <c r="Y205" s="9">
        <f t="shared" si="19"/>
        <v>0</v>
      </c>
      <c r="Z205" s="8"/>
      <c r="AA205" s="8"/>
      <c r="AB205" s="8"/>
      <c r="AC205" s="8"/>
      <c r="AD205" s="8"/>
    </row>
    <row r="206" spans="1:30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9">
        <f t="shared" si="15"/>
        <v>0</v>
      </c>
      <c r="V206" s="9">
        <f t="shared" si="16"/>
        <v>0</v>
      </c>
      <c r="W206" s="9">
        <f t="shared" si="17"/>
        <v>0</v>
      </c>
      <c r="X206" s="9">
        <f t="shared" si="18"/>
        <v>0</v>
      </c>
      <c r="Y206" s="9">
        <f t="shared" si="19"/>
        <v>0</v>
      </c>
      <c r="Z206" s="8"/>
      <c r="AA206" s="8"/>
      <c r="AB206" s="8"/>
      <c r="AC206" s="8"/>
      <c r="AD206" s="8"/>
    </row>
    <row r="207" spans="1:30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9">
        <f t="shared" si="15"/>
        <v>0</v>
      </c>
      <c r="V207" s="9">
        <f t="shared" si="16"/>
        <v>0</v>
      </c>
      <c r="W207" s="9">
        <f t="shared" si="17"/>
        <v>0</v>
      </c>
      <c r="X207" s="9">
        <f t="shared" si="18"/>
        <v>0</v>
      </c>
      <c r="Y207" s="9">
        <f t="shared" si="19"/>
        <v>0</v>
      </c>
      <c r="Z207" s="8"/>
      <c r="AA207" s="8"/>
      <c r="AB207" s="8"/>
      <c r="AC207" s="8"/>
      <c r="AD207" s="8"/>
    </row>
    <row r="208" spans="1:30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>
        <f t="shared" si="15"/>
        <v>0</v>
      </c>
      <c r="V208" s="9">
        <f t="shared" si="16"/>
        <v>0</v>
      </c>
      <c r="W208" s="9">
        <f t="shared" si="17"/>
        <v>0</v>
      </c>
      <c r="X208" s="9">
        <f t="shared" si="18"/>
        <v>0</v>
      </c>
      <c r="Y208" s="9">
        <f t="shared" si="19"/>
        <v>0</v>
      </c>
      <c r="Z208" s="8"/>
      <c r="AA208" s="8"/>
      <c r="AB208" s="8"/>
      <c r="AC208" s="8"/>
      <c r="AD208" s="8"/>
    </row>
    <row r="209" spans="1:30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9">
        <f t="shared" si="15"/>
        <v>0</v>
      </c>
      <c r="V209" s="9">
        <f t="shared" si="16"/>
        <v>0</v>
      </c>
      <c r="W209" s="9">
        <f t="shared" si="17"/>
        <v>0</v>
      </c>
      <c r="X209" s="9">
        <f t="shared" si="18"/>
        <v>0</v>
      </c>
      <c r="Y209" s="9">
        <f t="shared" si="19"/>
        <v>0</v>
      </c>
      <c r="Z209" s="8"/>
      <c r="AA209" s="8"/>
      <c r="AB209" s="8"/>
      <c r="AC209" s="8"/>
      <c r="AD209" s="8"/>
    </row>
    <row r="210" spans="1:3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9">
        <f t="shared" si="15"/>
        <v>0</v>
      </c>
      <c r="V210" s="9">
        <f t="shared" si="16"/>
        <v>0</v>
      </c>
      <c r="W210" s="9">
        <f t="shared" si="17"/>
        <v>0</v>
      </c>
      <c r="X210" s="9">
        <f t="shared" si="18"/>
        <v>0</v>
      </c>
      <c r="Y210" s="9">
        <f t="shared" si="19"/>
        <v>0</v>
      </c>
      <c r="Z210" s="8"/>
      <c r="AA210" s="8"/>
      <c r="AB210" s="8"/>
      <c r="AC210" s="8"/>
      <c r="AD210" s="8"/>
    </row>
    <row r="211" spans="1:30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>
        <f t="shared" si="15"/>
        <v>0</v>
      </c>
      <c r="V211" s="9">
        <f t="shared" si="16"/>
        <v>0</v>
      </c>
      <c r="W211" s="9">
        <f t="shared" si="17"/>
        <v>0</v>
      </c>
      <c r="X211" s="9">
        <f t="shared" si="18"/>
        <v>0</v>
      </c>
      <c r="Y211" s="9">
        <f t="shared" si="19"/>
        <v>0</v>
      </c>
      <c r="Z211" s="8"/>
      <c r="AA211" s="8"/>
      <c r="AB211" s="8"/>
      <c r="AC211" s="8"/>
      <c r="AD211" s="8"/>
    </row>
    <row r="212" spans="1:30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>
        <f t="shared" si="15"/>
        <v>0</v>
      </c>
      <c r="V212" s="9">
        <f t="shared" si="16"/>
        <v>0</v>
      </c>
      <c r="W212" s="9">
        <f t="shared" si="17"/>
        <v>0</v>
      </c>
      <c r="X212" s="9">
        <f t="shared" si="18"/>
        <v>0</v>
      </c>
      <c r="Y212" s="9">
        <f t="shared" si="19"/>
        <v>0</v>
      </c>
      <c r="Z212" s="8"/>
      <c r="AA212" s="8"/>
      <c r="AB212" s="8"/>
      <c r="AC212" s="8"/>
      <c r="AD212" s="8"/>
    </row>
    <row r="213" spans="1:30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9">
        <f t="shared" si="15"/>
        <v>0</v>
      </c>
      <c r="V213" s="9">
        <f t="shared" si="16"/>
        <v>0</v>
      </c>
      <c r="W213" s="9">
        <f t="shared" si="17"/>
        <v>0</v>
      </c>
      <c r="X213" s="9">
        <f t="shared" si="18"/>
        <v>0</v>
      </c>
      <c r="Y213" s="9">
        <f t="shared" si="19"/>
        <v>0</v>
      </c>
      <c r="Z213" s="8"/>
      <c r="AA213" s="8"/>
      <c r="AB213" s="8"/>
      <c r="AC213" s="8"/>
      <c r="AD213" s="8"/>
    </row>
    <row r="214" spans="1:30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>
        <f t="shared" si="15"/>
        <v>0</v>
      </c>
      <c r="V214" s="9">
        <f t="shared" si="16"/>
        <v>0</v>
      </c>
      <c r="W214" s="9">
        <f t="shared" si="17"/>
        <v>0</v>
      </c>
      <c r="X214" s="9">
        <f t="shared" si="18"/>
        <v>0</v>
      </c>
      <c r="Y214" s="9">
        <f t="shared" si="19"/>
        <v>0</v>
      </c>
      <c r="Z214" s="8"/>
      <c r="AA214" s="8"/>
      <c r="AB214" s="8"/>
      <c r="AC214" s="8"/>
      <c r="AD214" s="8"/>
    </row>
    <row r="215" spans="1:30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>
        <f t="shared" si="15"/>
        <v>0</v>
      </c>
      <c r="V215" s="9">
        <f t="shared" si="16"/>
        <v>0</v>
      </c>
      <c r="W215" s="9">
        <f t="shared" si="17"/>
        <v>0</v>
      </c>
      <c r="X215" s="9">
        <f t="shared" si="18"/>
        <v>0</v>
      </c>
      <c r="Y215" s="9">
        <f t="shared" si="19"/>
        <v>0</v>
      </c>
      <c r="Z215" s="8"/>
      <c r="AA215" s="8"/>
      <c r="AB215" s="8"/>
      <c r="AC215" s="8"/>
      <c r="AD215" s="8"/>
    </row>
    <row r="216" spans="1:30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>
        <f t="shared" si="15"/>
        <v>0</v>
      </c>
      <c r="V216" s="9">
        <f t="shared" si="16"/>
        <v>0</v>
      </c>
      <c r="W216" s="9">
        <f t="shared" si="17"/>
        <v>0</v>
      </c>
      <c r="X216" s="9">
        <f t="shared" si="18"/>
        <v>0</v>
      </c>
      <c r="Y216" s="9">
        <f t="shared" si="19"/>
        <v>0</v>
      </c>
      <c r="Z216" s="8"/>
      <c r="AA216" s="8"/>
      <c r="AB216" s="8"/>
      <c r="AC216" s="8"/>
      <c r="AD216" s="8"/>
    </row>
    <row r="217" spans="1:30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9">
        <f t="shared" si="15"/>
        <v>0</v>
      </c>
      <c r="V217" s="9">
        <f t="shared" si="16"/>
        <v>0</v>
      </c>
      <c r="W217" s="9">
        <f t="shared" si="17"/>
        <v>0</v>
      </c>
      <c r="X217" s="9">
        <f t="shared" si="18"/>
        <v>0</v>
      </c>
      <c r="Y217" s="9">
        <f t="shared" si="19"/>
        <v>0</v>
      </c>
      <c r="Z217" s="8"/>
      <c r="AA217" s="8"/>
      <c r="AB217" s="8"/>
      <c r="AC217" s="8"/>
      <c r="AD217" s="8"/>
    </row>
    <row r="218" spans="1:30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>
        <f t="shared" si="15"/>
        <v>0</v>
      </c>
      <c r="V218" s="9">
        <f t="shared" si="16"/>
        <v>0</v>
      </c>
      <c r="W218" s="9">
        <f t="shared" si="17"/>
        <v>0</v>
      </c>
      <c r="X218" s="9">
        <f t="shared" si="18"/>
        <v>0</v>
      </c>
      <c r="Y218" s="9">
        <f t="shared" si="19"/>
        <v>0</v>
      </c>
      <c r="Z218" s="8"/>
      <c r="AA218" s="8"/>
      <c r="AB218" s="8"/>
      <c r="AC218" s="8"/>
      <c r="AD218" s="8"/>
    </row>
    <row r="219" spans="1:30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>
        <f t="shared" si="15"/>
        <v>0</v>
      </c>
      <c r="V219" s="9">
        <f t="shared" si="16"/>
        <v>0</v>
      </c>
      <c r="W219" s="9">
        <f t="shared" si="17"/>
        <v>0</v>
      </c>
      <c r="X219" s="9">
        <f t="shared" si="18"/>
        <v>0</v>
      </c>
      <c r="Y219" s="9">
        <f t="shared" si="19"/>
        <v>0</v>
      </c>
      <c r="Z219" s="8"/>
      <c r="AA219" s="8"/>
      <c r="AB219" s="8"/>
      <c r="AC219" s="8"/>
      <c r="AD219" s="8"/>
    </row>
    <row r="220" spans="1:3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>
        <f t="shared" si="15"/>
        <v>0</v>
      </c>
      <c r="V220" s="9">
        <f t="shared" si="16"/>
        <v>0</v>
      </c>
      <c r="W220" s="9">
        <f t="shared" si="17"/>
        <v>0</v>
      </c>
      <c r="X220" s="9">
        <f t="shared" si="18"/>
        <v>0</v>
      </c>
      <c r="Y220" s="9">
        <f t="shared" si="19"/>
        <v>0</v>
      </c>
      <c r="Z220" s="8"/>
      <c r="AA220" s="8"/>
      <c r="AB220" s="8"/>
      <c r="AC220" s="8"/>
      <c r="AD220" s="8"/>
    </row>
    <row r="221" spans="1:30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9">
        <f t="shared" si="15"/>
        <v>0</v>
      </c>
      <c r="V221" s="9">
        <f t="shared" si="16"/>
        <v>0</v>
      </c>
      <c r="W221" s="9">
        <f t="shared" si="17"/>
        <v>0</v>
      </c>
      <c r="X221" s="9">
        <f t="shared" si="18"/>
        <v>0</v>
      </c>
      <c r="Y221" s="9">
        <f t="shared" si="19"/>
        <v>0</v>
      </c>
      <c r="Z221" s="8"/>
      <c r="AA221" s="8"/>
      <c r="AB221" s="8"/>
      <c r="AC221" s="8"/>
      <c r="AD221" s="8"/>
    </row>
    <row r="222" spans="1:30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>
        <f t="shared" si="15"/>
        <v>0</v>
      </c>
      <c r="V222" s="9">
        <f t="shared" si="16"/>
        <v>0</v>
      </c>
      <c r="W222" s="9">
        <f t="shared" si="17"/>
        <v>0</v>
      </c>
      <c r="X222" s="9">
        <f t="shared" si="18"/>
        <v>0</v>
      </c>
      <c r="Y222" s="9">
        <f t="shared" si="19"/>
        <v>0</v>
      </c>
      <c r="Z222" s="8"/>
      <c r="AA222" s="8"/>
      <c r="AB222" s="8"/>
      <c r="AC222" s="8"/>
      <c r="AD222" s="8"/>
    </row>
    <row r="223" spans="1:30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>
        <f t="shared" si="15"/>
        <v>0</v>
      </c>
      <c r="V223" s="9">
        <f t="shared" si="16"/>
        <v>0</v>
      </c>
      <c r="W223" s="9">
        <f t="shared" si="17"/>
        <v>0</v>
      </c>
      <c r="X223" s="9">
        <f t="shared" si="18"/>
        <v>0</v>
      </c>
      <c r="Y223" s="9">
        <f t="shared" si="19"/>
        <v>0</v>
      </c>
      <c r="Z223" s="8"/>
      <c r="AA223" s="8"/>
      <c r="AB223" s="8"/>
      <c r="AC223" s="8"/>
      <c r="AD223" s="8"/>
    </row>
    <row r="224" spans="1:30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>
        <f t="shared" si="15"/>
        <v>0</v>
      </c>
      <c r="V224" s="9">
        <f t="shared" si="16"/>
        <v>0</v>
      </c>
      <c r="W224" s="9">
        <f t="shared" si="17"/>
        <v>0</v>
      </c>
      <c r="X224" s="9">
        <f t="shared" si="18"/>
        <v>0</v>
      </c>
      <c r="Y224" s="9">
        <f t="shared" si="19"/>
        <v>0</v>
      </c>
      <c r="Z224" s="8"/>
      <c r="AA224" s="8"/>
      <c r="AB224" s="8"/>
      <c r="AC224" s="8"/>
      <c r="AD224" s="8"/>
    </row>
    <row r="225" spans="1:30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>
        <f t="shared" si="15"/>
        <v>0</v>
      </c>
      <c r="V225" s="9">
        <f t="shared" si="16"/>
        <v>0</v>
      </c>
      <c r="W225" s="9">
        <f t="shared" si="17"/>
        <v>0</v>
      </c>
      <c r="X225" s="9">
        <f t="shared" si="18"/>
        <v>0</v>
      </c>
      <c r="Y225" s="9">
        <f t="shared" si="19"/>
        <v>0</v>
      </c>
      <c r="Z225" s="8"/>
      <c r="AA225" s="8"/>
      <c r="AB225" s="8"/>
      <c r="AC225" s="8"/>
      <c r="AD225" s="8"/>
    </row>
    <row r="226" spans="1:30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9">
        <f t="shared" si="15"/>
        <v>0</v>
      </c>
      <c r="V226" s="9">
        <f t="shared" si="16"/>
        <v>0</v>
      </c>
      <c r="W226" s="9">
        <f t="shared" si="17"/>
        <v>0</v>
      </c>
      <c r="X226" s="9">
        <f t="shared" si="18"/>
        <v>0</v>
      </c>
      <c r="Y226" s="9">
        <f t="shared" si="19"/>
        <v>0</v>
      </c>
      <c r="Z226" s="8"/>
      <c r="AA226" s="8"/>
      <c r="AB226" s="8"/>
      <c r="AC226" s="8"/>
      <c r="AD226" s="8"/>
    </row>
    <row r="227" spans="1:30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>
        <f t="shared" si="15"/>
        <v>0</v>
      </c>
      <c r="V227" s="9">
        <f t="shared" si="16"/>
        <v>0</v>
      </c>
      <c r="W227" s="9">
        <f t="shared" si="17"/>
        <v>0</v>
      </c>
      <c r="X227" s="9">
        <f t="shared" si="18"/>
        <v>0</v>
      </c>
      <c r="Y227" s="9">
        <f t="shared" si="19"/>
        <v>0</v>
      </c>
      <c r="Z227" s="8"/>
      <c r="AA227" s="8"/>
      <c r="AB227" s="8"/>
      <c r="AC227" s="8"/>
      <c r="AD227" s="8"/>
    </row>
    <row r="228" spans="1:30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9">
        <f t="shared" si="15"/>
        <v>0</v>
      </c>
      <c r="V228" s="9">
        <f t="shared" si="16"/>
        <v>0</v>
      </c>
      <c r="W228" s="9">
        <f t="shared" si="17"/>
        <v>0</v>
      </c>
      <c r="X228" s="9">
        <f t="shared" si="18"/>
        <v>0</v>
      </c>
      <c r="Y228" s="9">
        <f t="shared" si="19"/>
        <v>0</v>
      </c>
      <c r="Z228" s="8"/>
      <c r="AA228" s="8"/>
      <c r="AB228" s="8"/>
      <c r="AC228" s="8"/>
      <c r="AD228" s="8"/>
    </row>
    <row r="229" spans="1:30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9">
        <f t="shared" si="15"/>
        <v>0</v>
      </c>
      <c r="V229" s="9">
        <f t="shared" si="16"/>
        <v>0</v>
      </c>
      <c r="W229" s="9">
        <f t="shared" si="17"/>
        <v>0</v>
      </c>
      <c r="X229" s="9">
        <f t="shared" si="18"/>
        <v>0</v>
      </c>
      <c r="Y229" s="9">
        <f t="shared" si="19"/>
        <v>0</v>
      </c>
      <c r="Z229" s="8"/>
      <c r="AA229" s="8"/>
      <c r="AB229" s="8"/>
      <c r="AC229" s="8"/>
      <c r="AD229" s="8"/>
    </row>
    <row r="230" spans="1: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>
        <f t="shared" si="15"/>
        <v>0</v>
      </c>
      <c r="V230" s="9">
        <f t="shared" si="16"/>
        <v>0</v>
      </c>
      <c r="W230" s="9">
        <f t="shared" si="17"/>
        <v>0</v>
      </c>
      <c r="X230" s="9">
        <f t="shared" si="18"/>
        <v>0</v>
      </c>
      <c r="Y230" s="9">
        <f t="shared" si="19"/>
        <v>0</v>
      </c>
      <c r="Z230" s="8"/>
      <c r="AA230" s="8"/>
      <c r="AB230" s="8"/>
      <c r="AC230" s="8"/>
      <c r="AD230" s="8"/>
    </row>
    <row r="231" spans="1:30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>
        <f t="shared" si="15"/>
        <v>0</v>
      </c>
      <c r="V231" s="9">
        <f t="shared" si="16"/>
        <v>0</v>
      </c>
      <c r="W231" s="9">
        <f t="shared" si="17"/>
        <v>0</v>
      </c>
      <c r="X231" s="9">
        <f t="shared" si="18"/>
        <v>0</v>
      </c>
      <c r="Y231" s="9">
        <f t="shared" si="19"/>
        <v>0</v>
      </c>
      <c r="Z231" s="8"/>
      <c r="AA231" s="8"/>
      <c r="AB231" s="8"/>
      <c r="AC231" s="8"/>
      <c r="AD231" s="8"/>
    </row>
    <row r="232" spans="1:30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>
        <f t="shared" si="15"/>
        <v>0</v>
      </c>
      <c r="V232" s="9">
        <f t="shared" si="16"/>
        <v>0</v>
      </c>
      <c r="W232" s="9">
        <f t="shared" si="17"/>
        <v>0</v>
      </c>
      <c r="X232" s="9">
        <f t="shared" si="18"/>
        <v>0</v>
      </c>
      <c r="Y232" s="9">
        <f t="shared" si="19"/>
        <v>0</v>
      </c>
      <c r="Z232" s="8"/>
      <c r="AA232" s="8"/>
      <c r="AB232" s="8"/>
      <c r="AC232" s="8"/>
      <c r="AD232" s="8"/>
    </row>
    <row r="233" spans="1:30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>
        <f t="shared" si="15"/>
        <v>0</v>
      </c>
      <c r="V233" s="9">
        <f t="shared" si="16"/>
        <v>0</v>
      </c>
      <c r="W233" s="9">
        <f t="shared" si="17"/>
        <v>0</v>
      </c>
      <c r="X233" s="9">
        <f t="shared" si="18"/>
        <v>0</v>
      </c>
      <c r="Y233" s="9">
        <f t="shared" si="19"/>
        <v>0</v>
      </c>
      <c r="Z233" s="8"/>
      <c r="AA233" s="8"/>
      <c r="AB233" s="8"/>
      <c r="AC233" s="8"/>
      <c r="AD233" s="8"/>
    </row>
    <row r="234" spans="1:30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>
        <f t="shared" si="15"/>
        <v>0</v>
      </c>
      <c r="V234" s="9">
        <f t="shared" si="16"/>
        <v>0</v>
      </c>
      <c r="W234" s="9">
        <f t="shared" si="17"/>
        <v>0</v>
      </c>
      <c r="X234" s="9">
        <f t="shared" si="18"/>
        <v>0</v>
      </c>
      <c r="Y234" s="9">
        <f t="shared" si="19"/>
        <v>0</v>
      </c>
      <c r="Z234" s="8"/>
      <c r="AA234" s="8"/>
      <c r="AB234" s="8"/>
      <c r="AC234" s="8"/>
      <c r="AD234" s="8"/>
    </row>
    <row r="235" spans="1:30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>
        <f t="shared" si="15"/>
        <v>0</v>
      </c>
      <c r="V235" s="9">
        <f t="shared" si="16"/>
        <v>0</v>
      </c>
      <c r="W235" s="9">
        <f t="shared" si="17"/>
        <v>0</v>
      </c>
      <c r="X235" s="9">
        <f t="shared" si="18"/>
        <v>0</v>
      </c>
      <c r="Y235" s="9">
        <f t="shared" si="19"/>
        <v>0</v>
      </c>
      <c r="Z235" s="8"/>
      <c r="AA235" s="8"/>
      <c r="AB235" s="8"/>
      <c r="AC235" s="8"/>
      <c r="AD235" s="8"/>
    </row>
    <row r="236" spans="1:30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>
        <f t="shared" si="15"/>
        <v>0</v>
      </c>
      <c r="V236" s="9">
        <f t="shared" si="16"/>
        <v>0</v>
      </c>
      <c r="W236" s="9">
        <f t="shared" si="17"/>
        <v>0</v>
      </c>
      <c r="X236" s="9">
        <f t="shared" si="18"/>
        <v>0</v>
      </c>
      <c r="Y236" s="9">
        <f t="shared" si="19"/>
        <v>0</v>
      </c>
      <c r="Z236" s="8"/>
      <c r="AA236" s="8"/>
      <c r="AB236" s="8"/>
      <c r="AC236" s="8"/>
      <c r="AD236" s="8"/>
    </row>
    <row r="237" spans="1:30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>
        <f t="shared" si="15"/>
        <v>0</v>
      </c>
      <c r="V237" s="9">
        <f t="shared" si="16"/>
        <v>0</v>
      </c>
      <c r="W237" s="9">
        <f t="shared" si="17"/>
        <v>0</v>
      </c>
      <c r="X237" s="9">
        <f t="shared" si="18"/>
        <v>0</v>
      </c>
      <c r="Y237" s="9">
        <f t="shared" si="19"/>
        <v>0</v>
      </c>
      <c r="Z237" s="8"/>
      <c r="AA237" s="8"/>
      <c r="AB237" s="8"/>
      <c r="AC237" s="8"/>
      <c r="AD237" s="8"/>
    </row>
    <row r="238" spans="1:30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9">
        <f t="shared" si="15"/>
        <v>0</v>
      </c>
      <c r="V238" s="9">
        <f t="shared" si="16"/>
        <v>0</v>
      </c>
      <c r="W238" s="9">
        <f t="shared" si="17"/>
        <v>0</v>
      </c>
      <c r="X238" s="9">
        <f t="shared" si="18"/>
        <v>0</v>
      </c>
      <c r="Y238" s="9">
        <f t="shared" si="19"/>
        <v>0</v>
      </c>
      <c r="Z238" s="8"/>
      <c r="AA238" s="8"/>
      <c r="AB238" s="8"/>
      <c r="AC238" s="8"/>
      <c r="AD238" s="8"/>
    </row>
    <row r="239" spans="1:30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9">
        <f t="shared" si="15"/>
        <v>0</v>
      </c>
      <c r="V239" s="9">
        <f t="shared" si="16"/>
        <v>0</v>
      </c>
      <c r="W239" s="9">
        <f t="shared" si="17"/>
        <v>0</v>
      </c>
      <c r="X239" s="9">
        <f t="shared" si="18"/>
        <v>0</v>
      </c>
      <c r="Y239" s="9">
        <f t="shared" si="19"/>
        <v>0</v>
      </c>
      <c r="Z239" s="8"/>
      <c r="AA239" s="8"/>
      <c r="AB239" s="8"/>
      <c r="AC239" s="8"/>
      <c r="AD239" s="8"/>
    </row>
    <row r="240" spans="1:3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9">
        <f t="shared" si="15"/>
        <v>0</v>
      </c>
      <c r="V240" s="9">
        <f t="shared" si="16"/>
        <v>0</v>
      </c>
      <c r="W240" s="9">
        <f t="shared" si="17"/>
        <v>0</v>
      </c>
      <c r="X240" s="9">
        <f t="shared" si="18"/>
        <v>0</v>
      </c>
      <c r="Y240" s="9">
        <f t="shared" si="19"/>
        <v>0</v>
      </c>
      <c r="Z240" s="8"/>
      <c r="AA240" s="8"/>
      <c r="AB240" s="8"/>
      <c r="AC240" s="8"/>
      <c r="AD240" s="8"/>
    </row>
    <row r="241" spans="1:30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9">
        <f t="shared" si="15"/>
        <v>0</v>
      </c>
      <c r="V241" s="9">
        <f t="shared" si="16"/>
        <v>0</v>
      </c>
      <c r="W241" s="9">
        <f t="shared" si="17"/>
        <v>0</v>
      </c>
      <c r="X241" s="9">
        <f t="shared" si="18"/>
        <v>0</v>
      </c>
      <c r="Y241" s="9">
        <f t="shared" si="19"/>
        <v>0</v>
      </c>
      <c r="Z241" s="8"/>
      <c r="AA241" s="8"/>
      <c r="AB241" s="8"/>
      <c r="AC241" s="8"/>
      <c r="AD241" s="8"/>
    </row>
    <row r="242" spans="1:30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9">
        <f t="shared" si="15"/>
        <v>0</v>
      </c>
      <c r="V242" s="9">
        <f t="shared" si="16"/>
        <v>0</v>
      </c>
      <c r="W242" s="9">
        <f t="shared" si="17"/>
        <v>0</v>
      </c>
      <c r="X242" s="9">
        <f t="shared" si="18"/>
        <v>0</v>
      </c>
      <c r="Y242" s="9">
        <f t="shared" si="19"/>
        <v>0</v>
      </c>
      <c r="Z242" s="8"/>
      <c r="AA242" s="8"/>
      <c r="AB242" s="8"/>
      <c r="AC242" s="8"/>
      <c r="AD242" s="8"/>
    </row>
    <row r="243" spans="1:30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9">
        <f t="shared" si="15"/>
        <v>0</v>
      </c>
      <c r="V243" s="9">
        <f t="shared" si="16"/>
        <v>0</v>
      </c>
      <c r="W243" s="9">
        <f t="shared" si="17"/>
        <v>0</v>
      </c>
      <c r="X243" s="9">
        <f t="shared" si="18"/>
        <v>0</v>
      </c>
      <c r="Y243" s="9">
        <f t="shared" si="19"/>
        <v>0</v>
      </c>
      <c r="Z243" s="8"/>
      <c r="AA243" s="8"/>
      <c r="AB243" s="8"/>
      <c r="AC243" s="8"/>
      <c r="AD243" s="8"/>
    </row>
    <row r="244" spans="1:30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9">
        <f t="shared" si="15"/>
        <v>0</v>
      </c>
      <c r="V244" s="9">
        <f t="shared" si="16"/>
        <v>0</v>
      </c>
      <c r="W244" s="9">
        <f t="shared" si="17"/>
        <v>0</v>
      </c>
      <c r="X244" s="9">
        <f t="shared" si="18"/>
        <v>0</v>
      </c>
      <c r="Y244" s="9">
        <f t="shared" si="19"/>
        <v>0</v>
      </c>
      <c r="Z244" s="8"/>
      <c r="AA244" s="8"/>
      <c r="AB244" s="8"/>
      <c r="AC244" s="8"/>
      <c r="AD244" s="8"/>
    </row>
    <row r="245" spans="1:30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9">
        <f t="shared" si="15"/>
        <v>0</v>
      </c>
      <c r="V245" s="9">
        <f t="shared" si="16"/>
        <v>0</v>
      </c>
      <c r="W245" s="9">
        <f t="shared" si="17"/>
        <v>0</v>
      </c>
      <c r="X245" s="9">
        <f t="shared" si="18"/>
        <v>0</v>
      </c>
      <c r="Y245" s="9">
        <f t="shared" si="19"/>
        <v>0</v>
      </c>
      <c r="Z245" s="8"/>
      <c r="AA245" s="8"/>
      <c r="AB245" s="8"/>
      <c r="AC245" s="8"/>
      <c r="AD245" s="8"/>
    </row>
    <row r="246" spans="1:30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9">
        <f t="shared" si="15"/>
        <v>0</v>
      </c>
      <c r="V246" s="9">
        <f t="shared" si="16"/>
        <v>0</v>
      </c>
      <c r="W246" s="9">
        <f t="shared" si="17"/>
        <v>0</v>
      </c>
      <c r="X246" s="9">
        <f t="shared" si="18"/>
        <v>0</v>
      </c>
      <c r="Y246" s="9">
        <f t="shared" si="19"/>
        <v>0</v>
      </c>
      <c r="Z246" s="8"/>
      <c r="AA246" s="8"/>
      <c r="AB246" s="8"/>
      <c r="AC246" s="8"/>
      <c r="AD246" s="8"/>
    </row>
    <row r="247" spans="1:30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9">
        <f t="shared" si="15"/>
        <v>0</v>
      </c>
      <c r="V247" s="9">
        <f t="shared" si="16"/>
        <v>0</v>
      </c>
      <c r="W247" s="9">
        <f t="shared" si="17"/>
        <v>0</v>
      </c>
      <c r="X247" s="9">
        <f t="shared" si="18"/>
        <v>0</v>
      </c>
      <c r="Y247" s="9">
        <f t="shared" si="19"/>
        <v>0</v>
      </c>
      <c r="Z247" s="8"/>
      <c r="AA247" s="8"/>
      <c r="AB247" s="8"/>
      <c r="AC247" s="8"/>
      <c r="AD247" s="8"/>
    </row>
    <row r="248" spans="1:30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9">
        <f t="shared" si="15"/>
        <v>0</v>
      </c>
      <c r="V248" s="9">
        <f t="shared" si="16"/>
        <v>0</v>
      </c>
      <c r="W248" s="9">
        <f t="shared" si="17"/>
        <v>0</v>
      </c>
      <c r="X248" s="9">
        <f t="shared" si="18"/>
        <v>0</v>
      </c>
      <c r="Y248" s="9">
        <f t="shared" si="19"/>
        <v>0</v>
      </c>
      <c r="Z248" s="8"/>
      <c r="AA248" s="8"/>
      <c r="AB248" s="8"/>
      <c r="AC248" s="8"/>
      <c r="AD248" s="8"/>
    </row>
    <row r="249" spans="1:30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9">
        <f t="shared" si="15"/>
        <v>0</v>
      </c>
      <c r="V249" s="9">
        <f t="shared" si="16"/>
        <v>0</v>
      </c>
      <c r="W249" s="9">
        <f t="shared" si="17"/>
        <v>0</v>
      </c>
      <c r="X249" s="9">
        <f t="shared" si="18"/>
        <v>0</v>
      </c>
      <c r="Y249" s="9">
        <f t="shared" si="19"/>
        <v>0</v>
      </c>
      <c r="Z249" s="8"/>
      <c r="AA249" s="8"/>
      <c r="AB249" s="8"/>
      <c r="AC249" s="8"/>
      <c r="AD249" s="8"/>
    </row>
    <row r="250" spans="1:3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9">
        <f t="shared" si="15"/>
        <v>0</v>
      </c>
      <c r="V250" s="9">
        <f t="shared" si="16"/>
        <v>0</v>
      </c>
      <c r="W250" s="9">
        <f t="shared" si="17"/>
        <v>0</v>
      </c>
      <c r="X250" s="9">
        <f t="shared" si="18"/>
        <v>0</v>
      </c>
      <c r="Y250" s="9">
        <f t="shared" si="19"/>
        <v>0</v>
      </c>
      <c r="Z250" s="8"/>
      <c r="AA250" s="8"/>
      <c r="AB250" s="8"/>
      <c r="AC250" s="8"/>
      <c r="AD250" s="8"/>
    </row>
    <row r="251" spans="1:30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>
        <f t="shared" si="15"/>
        <v>0</v>
      </c>
      <c r="V251" s="9">
        <f t="shared" si="16"/>
        <v>0</v>
      </c>
      <c r="W251" s="9">
        <f t="shared" si="17"/>
        <v>0</v>
      </c>
      <c r="X251" s="9">
        <f t="shared" si="18"/>
        <v>0</v>
      </c>
      <c r="Y251" s="9">
        <f t="shared" si="19"/>
        <v>0</v>
      </c>
      <c r="Z251" s="8"/>
      <c r="AA251" s="8"/>
      <c r="AB251" s="8"/>
      <c r="AC251" s="8"/>
      <c r="AD251" s="8"/>
    </row>
    <row r="252" spans="1:30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9">
        <f t="shared" si="15"/>
        <v>0</v>
      </c>
      <c r="V252" s="9">
        <f t="shared" si="16"/>
        <v>0</v>
      </c>
      <c r="W252" s="9">
        <f t="shared" si="17"/>
        <v>0</v>
      </c>
      <c r="X252" s="9">
        <f t="shared" si="18"/>
        <v>0</v>
      </c>
      <c r="Y252" s="9">
        <f t="shared" si="19"/>
        <v>0</v>
      </c>
      <c r="Z252" s="8"/>
      <c r="AA252" s="8"/>
      <c r="AB252" s="8"/>
      <c r="AC252" s="8"/>
      <c r="AD252" s="8"/>
    </row>
    <row r="253" spans="1:30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9">
        <f t="shared" si="15"/>
        <v>0</v>
      </c>
      <c r="V253" s="9">
        <f t="shared" si="16"/>
        <v>0</v>
      </c>
      <c r="W253" s="9">
        <f t="shared" si="17"/>
        <v>0</v>
      </c>
      <c r="X253" s="9">
        <f t="shared" si="18"/>
        <v>0</v>
      </c>
      <c r="Y253" s="9">
        <f t="shared" si="19"/>
        <v>0</v>
      </c>
      <c r="Z253" s="8"/>
      <c r="AA253" s="8"/>
      <c r="AB253" s="8"/>
      <c r="AC253" s="8"/>
      <c r="AD253" s="8"/>
    </row>
    <row r="254" spans="1:30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9">
        <f t="shared" si="15"/>
        <v>0</v>
      </c>
      <c r="V254" s="9">
        <f t="shared" si="16"/>
        <v>0</v>
      </c>
      <c r="W254" s="9">
        <f t="shared" si="17"/>
        <v>0</v>
      </c>
      <c r="X254" s="9">
        <f t="shared" si="18"/>
        <v>0</v>
      </c>
      <c r="Y254" s="9">
        <f t="shared" si="19"/>
        <v>0</v>
      </c>
      <c r="Z254" s="8"/>
      <c r="AA254" s="8"/>
      <c r="AB254" s="8"/>
      <c r="AC254" s="8"/>
      <c r="AD254" s="8"/>
    </row>
    <row r="255" spans="1:30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9">
        <f t="shared" si="15"/>
        <v>0</v>
      </c>
      <c r="V255" s="9">
        <f t="shared" si="16"/>
        <v>0</v>
      </c>
      <c r="W255" s="9">
        <f t="shared" si="17"/>
        <v>0</v>
      </c>
      <c r="X255" s="9">
        <f t="shared" si="18"/>
        <v>0</v>
      </c>
      <c r="Y255" s="9">
        <f t="shared" si="19"/>
        <v>0</v>
      </c>
      <c r="Z255" s="8"/>
      <c r="AA255" s="8"/>
      <c r="AB255" s="8"/>
      <c r="AC255" s="8"/>
      <c r="AD255" s="8"/>
    </row>
    <row r="256" spans="1:30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9">
        <f t="shared" si="15"/>
        <v>0</v>
      </c>
      <c r="V256" s="9">
        <f t="shared" si="16"/>
        <v>0</v>
      </c>
      <c r="W256" s="9">
        <f t="shared" si="17"/>
        <v>0</v>
      </c>
      <c r="X256" s="9">
        <f t="shared" si="18"/>
        <v>0</v>
      </c>
      <c r="Y256" s="9">
        <f t="shared" si="19"/>
        <v>0</v>
      </c>
      <c r="Z256" s="8"/>
      <c r="AA256" s="8"/>
      <c r="AB256" s="8"/>
      <c r="AC256" s="8"/>
      <c r="AD256" s="8"/>
    </row>
    <row r="257" spans="1:30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9">
        <f t="shared" si="15"/>
        <v>0</v>
      </c>
      <c r="V257" s="9">
        <f t="shared" si="16"/>
        <v>0</v>
      </c>
      <c r="W257" s="9">
        <f t="shared" si="17"/>
        <v>0</v>
      </c>
      <c r="X257" s="9">
        <f t="shared" si="18"/>
        <v>0</v>
      </c>
      <c r="Y257" s="9">
        <f t="shared" si="19"/>
        <v>0</v>
      </c>
      <c r="Z257" s="8"/>
      <c r="AA257" s="8"/>
      <c r="AB257" s="8"/>
      <c r="AC257" s="8"/>
      <c r="AD257" s="8"/>
    </row>
    <row r="258" spans="1:30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9">
        <f t="shared" ref="U258:U301" si="20">H258*I258+K258*L258+M258*N258+O258*P258+Q258*R258+S258*T258</f>
        <v>0</v>
      </c>
      <c r="V258" s="9">
        <f t="shared" ref="V258:V301" si="21">IF(E258&gt;0,U258/E258*60,0)</f>
        <v>0</v>
      </c>
      <c r="W258" s="9">
        <f t="shared" ref="W258:W301" si="22">IF(E258&gt;0,F258/E258*60,0)</f>
        <v>0</v>
      </c>
      <c r="X258" s="9">
        <f t="shared" ref="X258:X301" si="23">IF(E258&gt;0,H258/E258*60,0)</f>
        <v>0</v>
      </c>
      <c r="Y258" s="9">
        <f t="shared" ref="Y258:Y301" si="24">IF(E258&gt;0,K258/E258*60,0)</f>
        <v>0</v>
      </c>
      <c r="Z258" s="8"/>
      <c r="AA258" s="8"/>
      <c r="AB258" s="8"/>
      <c r="AC258" s="8"/>
      <c r="AD258" s="8"/>
    </row>
    <row r="259" spans="1:30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9">
        <f t="shared" si="20"/>
        <v>0</v>
      </c>
      <c r="V259" s="9">
        <f t="shared" si="21"/>
        <v>0</v>
      </c>
      <c r="W259" s="9">
        <f t="shared" si="22"/>
        <v>0</v>
      </c>
      <c r="X259" s="9">
        <f t="shared" si="23"/>
        <v>0</v>
      </c>
      <c r="Y259" s="9">
        <f t="shared" si="24"/>
        <v>0</v>
      </c>
      <c r="Z259" s="8"/>
      <c r="AA259" s="8"/>
      <c r="AB259" s="8"/>
      <c r="AC259" s="8"/>
      <c r="AD259" s="8"/>
    </row>
    <row r="260" spans="1:3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9">
        <f t="shared" si="20"/>
        <v>0</v>
      </c>
      <c r="V260" s="9">
        <f t="shared" si="21"/>
        <v>0</v>
      </c>
      <c r="W260" s="9">
        <f t="shared" si="22"/>
        <v>0</v>
      </c>
      <c r="X260" s="9">
        <f t="shared" si="23"/>
        <v>0</v>
      </c>
      <c r="Y260" s="9">
        <f t="shared" si="24"/>
        <v>0</v>
      </c>
      <c r="Z260" s="8"/>
      <c r="AA260" s="8"/>
      <c r="AB260" s="8"/>
      <c r="AC260" s="8"/>
      <c r="AD260" s="8"/>
    </row>
    <row r="261" spans="1:30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9">
        <f t="shared" si="20"/>
        <v>0</v>
      </c>
      <c r="V261" s="9">
        <f t="shared" si="21"/>
        <v>0</v>
      </c>
      <c r="W261" s="9">
        <f t="shared" si="22"/>
        <v>0</v>
      </c>
      <c r="X261" s="9">
        <f t="shared" si="23"/>
        <v>0</v>
      </c>
      <c r="Y261" s="9">
        <f t="shared" si="24"/>
        <v>0</v>
      </c>
      <c r="Z261" s="8"/>
      <c r="AA261" s="8"/>
      <c r="AB261" s="8"/>
      <c r="AC261" s="8"/>
      <c r="AD261" s="8"/>
    </row>
    <row r="262" spans="1:30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9">
        <f t="shared" si="20"/>
        <v>0</v>
      </c>
      <c r="V262" s="9">
        <f t="shared" si="21"/>
        <v>0</v>
      </c>
      <c r="W262" s="9">
        <f t="shared" si="22"/>
        <v>0</v>
      </c>
      <c r="X262" s="9">
        <f t="shared" si="23"/>
        <v>0</v>
      </c>
      <c r="Y262" s="9">
        <f t="shared" si="24"/>
        <v>0</v>
      </c>
      <c r="Z262" s="8"/>
      <c r="AA262" s="8"/>
      <c r="AB262" s="8"/>
      <c r="AC262" s="8"/>
      <c r="AD262" s="8"/>
    </row>
    <row r="263" spans="1:30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9">
        <f t="shared" si="20"/>
        <v>0</v>
      </c>
      <c r="V263" s="9">
        <f t="shared" si="21"/>
        <v>0</v>
      </c>
      <c r="W263" s="9">
        <f t="shared" si="22"/>
        <v>0</v>
      </c>
      <c r="X263" s="9">
        <f t="shared" si="23"/>
        <v>0</v>
      </c>
      <c r="Y263" s="9">
        <f t="shared" si="24"/>
        <v>0</v>
      </c>
      <c r="Z263" s="8"/>
      <c r="AA263" s="8"/>
      <c r="AB263" s="8"/>
      <c r="AC263" s="8"/>
      <c r="AD263" s="8"/>
    </row>
    <row r="264" spans="1:30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9">
        <f t="shared" si="20"/>
        <v>0</v>
      </c>
      <c r="V264" s="9">
        <f t="shared" si="21"/>
        <v>0</v>
      </c>
      <c r="W264" s="9">
        <f t="shared" si="22"/>
        <v>0</v>
      </c>
      <c r="X264" s="9">
        <f t="shared" si="23"/>
        <v>0</v>
      </c>
      <c r="Y264" s="9">
        <f t="shared" si="24"/>
        <v>0</v>
      </c>
      <c r="Z264" s="8"/>
      <c r="AA264" s="8"/>
      <c r="AB264" s="8"/>
      <c r="AC264" s="8"/>
      <c r="AD264" s="8"/>
    </row>
    <row r="265" spans="1:30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9">
        <f t="shared" si="20"/>
        <v>0</v>
      </c>
      <c r="V265" s="9">
        <f t="shared" si="21"/>
        <v>0</v>
      </c>
      <c r="W265" s="9">
        <f t="shared" si="22"/>
        <v>0</v>
      </c>
      <c r="X265" s="9">
        <f t="shared" si="23"/>
        <v>0</v>
      </c>
      <c r="Y265" s="9">
        <f t="shared" si="24"/>
        <v>0</v>
      </c>
      <c r="Z265" s="8"/>
      <c r="AA265" s="8"/>
      <c r="AB265" s="8"/>
      <c r="AC265" s="8"/>
      <c r="AD265" s="8"/>
    </row>
    <row r="266" spans="1:30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9">
        <f t="shared" si="20"/>
        <v>0</v>
      </c>
      <c r="V266" s="9">
        <f t="shared" si="21"/>
        <v>0</v>
      </c>
      <c r="W266" s="9">
        <f t="shared" si="22"/>
        <v>0</v>
      </c>
      <c r="X266" s="9">
        <f t="shared" si="23"/>
        <v>0</v>
      </c>
      <c r="Y266" s="9">
        <f t="shared" si="24"/>
        <v>0</v>
      </c>
      <c r="Z266" s="8"/>
      <c r="AA266" s="8"/>
      <c r="AB266" s="8"/>
      <c r="AC266" s="8"/>
      <c r="AD266" s="8"/>
    </row>
    <row r="267" spans="1:30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9">
        <f t="shared" si="20"/>
        <v>0</v>
      </c>
      <c r="V267" s="9">
        <f t="shared" si="21"/>
        <v>0</v>
      </c>
      <c r="W267" s="9">
        <f t="shared" si="22"/>
        <v>0</v>
      </c>
      <c r="X267" s="9">
        <f t="shared" si="23"/>
        <v>0</v>
      </c>
      <c r="Y267" s="9">
        <f t="shared" si="24"/>
        <v>0</v>
      </c>
      <c r="Z267" s="8"/>
      <c r="AA267" s="8"/>
      <c r="AB267" s="8"/>
      <c r="AC267" s="8"/>
      <c r="AD267" s="8"/>
    </row>
    <row r="268" spans="1:30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9">
        <f t="shared" si="20"/>
        <v>0</v>
      </c>
      <c r="V268" s="9">
        <f t="shared" si="21"/>
        <v>0</v>
      </c>
      <c r="W268" s="9">
        <f t="shared" si="22"/>
        <v>0</v>
      </c>
      <c r="X268" s="9">
        <f t="shared" si="23"/>
        <v>0</v>
      </c>
      <c r="Y268" s="9">
        <f t="shared" si="24"/>
        <v>0</v>
      </c>
      <c r="Z268" s="8"/>
      <c r="AA268" s="8"/>
      <c r="AB268" s="8"/>
      <c r="AC268" s="8"/>
      <c r="AD268" s="8"/>
    </row>
    <row r="269" spans="1:30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>
        <f t="shared" si="20"/>
        <v>0</v>
      </c>
      <c r="V269" s="9">
        <f t="shared" si="21"/>
        <v>0</v>
      </c>
      <c r="W269" s="9">
        <f t="shared" si="22"/>
        <v>0</v>
      </c>
      <c r="X269" s="9">
        <f t="shared" si="23"/>
        <v>0</v>
      </c>
      <c r="Y269" s="9">
        <f t="shared" si="24"/>
        <v>0</v>
      </c>
      <c r="Z269" s="8"/>
      <c r="AA269" s="8"/>
      <c r="AB269" s="8"/>
      <c r="AC269" s="8"/>
      <c r="AD269" s="8"/>
    </row>
    <row r="270" spans="1:3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9">
        <f t="shared" si="20"/>
        <v>0</v>
      </c>
      <c r="V270" s="9">
        <f t="shared" si="21"/>
        <v>0</v>
      </c>
      <c r="W270" s="9">
        <f t="shared" si="22"/>
        <v>0</v>
      </c>
      <c r="X270" s="9">
        <f t="shared" si="23"/>
        <v>0</v>
      </c>
      <c r="Y270" s="9">
        <f t="shared" si="24"/>
        <v>0</v>
      </c>
      <c r="Z270" s="8"/>
      <c r="AA270" s="8"/>
      <c r="AB270" s="8"/>
      <c r="AC270" s="8"/>
      <c r="AD270" s="8"/>
    </row>
    <row r="271" spans="1:30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9">
        <f t="shared" si="20"/>
        <v>0</v>
      </c>
      <c r="V271" s="9">
        <f t="shared" si="21"/>
        <v>0</v>
      </c>
      <c r="W271" s="9">
        <f t="shared" si="22"/>
        <v>0</v>
      </c>
      <c r="X271" s="9">
        <f t="shared" si="23"/>
        <v>0</v>
      </c>
      <c r="Y271" s="9">
        <f t="shared" si="24"/>
        <v>0</v>
      </c>
      <c r="Z271" s="8"/>
      <c r="AA271" s="8"/>
      <c r="AB271" s="8"/>
      <c r="AC271" s="8"/>
      <c r="AD271" s="8"/>
    </row>
    <row r="272" spans="1:30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9">
        <f t="shared" si="20"/>
        <v>0</v>
      </c>
      <c r="V272" s="9">
        <f t="shared" si="21"/>
        <v>0</v>
      </c>
      <c r="W272" s="9">
        <f t="shared" si="22"/>
        <v>0</v>
      </c>
      <c r="X272" s="9">
        <f t="shared" si="23"/>
        <v>0</v>
      </c>
      <c r="Y272" s="9">
        <f t="shared" si="24"/>
        <v>0</v>
      </c>
      <c r="Z272" s="8"/>
      <c r="AA272" s="8"/>
      <c r="AB272" s="8"/>
      <c r="AC272" s="8"/>
      <c r="AD272" s="8"/>
    </row>
    <row r="273" spans="1:30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9">
        <f t="shared" si="20"/>
        <v>0</v>
      </c>
      <c r="V273" s="9">
        <f t="shared" si="21"/>
        <v>0</v>
      </c>
      <c r="W273" s="9">
        <f t="shared" si="22"/>
        <v>0</v>
      </c>
      <c r="X273" s="9">
        <f t="shared" si="23"/>
        <v>0</v>
      </c>
      <c r="Y273" s="9">
        <f t="shared" si="24"/>
        <v>0</v>
      </c>
      <c r="Z273" s="8"/>
      <c r="AA273" s="8"/>
      <c r="AB273" s="8"/>
      <c r="AC273" s="8"/>
      <c r="AD273" s="8"/>
    </row>
    <row r="274" spans="1:30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9">
        <f t="shared" si="20"/>
        <v>0</v>
      </c>
      <c r="V274" s="9">
        <f t="shared" si="21"/>
        <v>0</v>
      </c>
      <c r="W274" s="9">
        <f t="shared" si="22"/>
        <v>0</v>
      </c>
      <c r="X274" s="9">
        <f t="shared" si="23"/>
        <v>0</v>
      </c>
      <c r="Y274" s="9">
        <f t="shared" si="24"/>
        <v>0</v>
      </c>
      <c r="Z274" s="8"/>
      <c r="AA274" s="8"/>
      <c r="AB274" s="8"/>
      <c r="AC274" s="8"/>
      <c r="AD274" s="8"/>
    </row>
    <row r="275" spans="1:30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9">
        <f t="shared" si="20"/>
        <v>0</v>
      </c>
      <c r="V275" s="9">
        <f t="shared" si="21"/>
        <v>0</v>
      </c>
      <c r="W275" s="9">
        <f t="shared" si="22"/>
        <v>0</v>
      </c>
      <c r="X275" s="9">
        <f t="shared" si="23"/>
        <v>0</v>
      </c>
      <c r="Y275" s="9">
        <f t="shared" si="24"/>
        <v>0</v>
      </c>
      <c r="Z275" s="8"/>
      <c r="AA275" s="8"/>
      <c r="AB275" s="8"/>
      <c r="AC275" s="8"/>
      <c r="AD275" s="8"/>
    </row>
    <row r="276" spans="1:30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9">
        <f t="shared" si="20"/>
        <v>0</v>
      </c>
      <c r="V276" s="9">
        <f t="shared" si="21"/>
        <v>0</v>
      </c>
      <c r="W276" s="9">
        <f t="shared" si="22"/>
        <v>0</v>
      </c>
      <c r="X276" s="9">
        <f t="shared" si="23"/>
        <v>0</v>
      </c>
      <c r="Y276" s="9">
        <f t="shared" si="24"/>
        <v>0</v>
      </c>
      <c r="Z276" s="8"/>
      <c r="AA276" s="8"/>
      <c r="AB276" s="8"/>
      <c r="AC276" s="8"/>
      <c r="AD276" s="8"/>
    </row>
    <row r="277" spans="1:30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9">
        <f t="shared" si="20"/>
        <v>0</v>
      </c>
      <c r="V277" s="9">
        <f t="shared" si="21"/>
        <v>0</v>
      </c>
      <c r="W277" s="9">
        <f t="shared" si="22"/>
        <v>0</v>
      </c>
      <c r="X277" s="9">
        <f t="shared" si="23"/>
        <v>0</v>
      </c>
      <c r="Y277" s="9">
        <f t="shared" si="24"/>
        <v>0</v>
      </c>
      <c r="Z277" s="8"/>
      <c r="AA277" s="8"/>
      <c r="AB277" s="8"/>
      <c r="AC277" s="8"/>
      <c r="AD277" s="8"/>
    </row>
    <row r="278" spans="1:30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9">
        <f t="shared" si="20"/>
        <v>0</v>
      </c>
      <c r="V278" s="9">
        <f t="shared" si="21"/>
        <v>0</v>
      </c>
      <c r="W278" s="9">
        <f t="shared" si="22"/>
        <v>0</v>
      </c>
      <c r="X278" s="9">
        <f t="shared" si="23"/>
        <v>0</v>
      </c>
      <c r="Y278" s="9">
        <f t="shared" si="24"/>
        <v>0</v>
      </c>
      <c r="Z278" s="8"/>
      <c r="AA278" s="8"/>
      <c r="AB278" s="8"/>
      <c r="AC278" s="8"/>
      <c r="AD278" s="8"/>
    </row>
    <row r="279" spans="1:30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9">
        <f t="shared" si="20"/>
        <v>0</v>
      </c>
      <c r="V279" s="9">
        <f t="shared" si="21"/>
        <v>0</v>
      </c>
      <c r="W279" s="9">
        <f t="shared" si="22"/>
        <v>0</v>
      </c>
      <c r="X279" s="9">
        <f t="shared" si="23"/>
        <v>0</v>
      </c>
      <c r="Y279" s="9">
        <f t="shared" si="24"/>
        <v>0</v>
      </c>
      <c r="Z279" s="8"/>
      <c r="AA279" s="8"/>
      <c r="AB279" s="8"/>
      <c r="AC279" s="8"/>
      <c r="AD279" s="8"/>
    </row>
    <row r="280" spans="1:3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9">
        <f t="shared" si="20"/>
        <v>0</v>
      </c>
      <c r="V280" s="9">
        <f t="shared" si="21"/>
        <v>0</v>
      </c>
      <c r="W280" s="9">
        <f t="shared" si="22"/>
        <v>0</v>
      </c>
      <c r="X280" s="9">
        <f t="shared" si="23"/>
        <v>0</v>
      </c>
      <c r="Y280" s="9">
        <f t="shared" si="24"/>
        <v>0</v>
      </c>
      <c r="Z280" s="8"/>
      <c r="AA280" s="8"/>
      <c r="AB280" s="8"/>
      <c r="AC280" s="8"/>
      <c r="AD280" s="8"/>
    </row>
    <row r="281" spans="1:30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9">
        <f t="shared" si="20"/>
        <v>0</v>
      </c>
      <c r="V281" s="9">
        <f t="shared" si="21"/>
        <v>0</v>
      </c>
      <c r="W281" s="9">
        <f t="shared" si="22"/>
        <v>0</v>
      </c>
      <c r="X281" s="9">
        <f t="shared" si="23"/>
        <v>0</v>
      </c>
      <c r="Y281" s="9">
        <f t="shared" si="24"/>
        <v>0</v>
      </c>
      <c r="Z281" s="8"/>
      <c r="AA281" s="8"/>
      <c r="AB281" s="8"/>
      <c r="AC281" s="8"/>
      <c r="AD281" s="8"/>
    </row>
    <row r="282" spans="1:30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9">
        <f t="shared" si="20"/>
        <v>0</v>
      </c>
      <c r="V282" s="9">
        <f t="shared" si="21"/>
        <v>0</v>
      </c>
      <c r="W282" s="9">
        <f t="shared" si="22"/>
        <v>0</v>
      </c>
      <c r="X282" s="9">
        <f t="shared" si="23"/>
        <v>0</v>
      </c>
      <c r="Y282" s="9">
        <f t="shared" si="24"/>
        <v>0</v>
      </c>
      <c r="Z282" s="8"/>
      <c r="AA282" s="8"/>
      <c r="AB282" s="8"/>
      <c r="AC282" s="8"/>
      <c r="AD282" s="8"/>
    </row>
    <row r="283" spans="1:30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9">
        <f t="shared" si="20"/>
        <v>0</v>
      </c>
      <c r="V283" s="9">
        <f t="shared" si="21"/>
        <v>0</v>
      </c>
      <c r="W283" s="9">
        <f t="shared" si="22"/>
        <v>0</v>
      </c>
      <c r="X283" s="9">
        <f t="shared" si="23"/>
        <v>0</v>
      </c>
      <c r="Y283" s="9">
        <f t="shared" si="24"/>
        <v>0</v>
      </c>
      <c r="Z283" s="8"/>
      <c r="AA283" s="8"/>
      <c r="AB283" s="8"/>
      <c r="AC283" s="8"/>
      <c r="AD283" s="8"/>
    </row>
    <row r="284" spans="1:30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9">
        <f t="shared" si="20"/>
        <v>0</v>
      </c>
      <c r="V284" s="9">
        <f t="shared" si="21"/>
        <v>0</v>
      </c>
      <c r="W284" s="9">
        <f t="shared" si="22"/>
        <v>0</v>
      </c>
      <c r="X284" s="9">
        <f t="shared" si="23"/>
        <v>0</v>
      </c>
      <c r="Y284" s="9">
        <f t="shared" si="24"/>
        <v>0</v>
      </c>
      <c r="Z284" s="8"/>
      <c r="AA284" s="8"/>
      <c r="AB284" s="8"/>
      <c r="AC284" s="8"/>
      <c r="AD284" s="8"/>
    </row>
    <row r="285" spans="1:30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9">
        <f t="shared" si="20"/>
        <v>0</v>
      </c>
      <c r="V285" s="9">
        <f t="shared" si="21"/>
        <v>0</v>
      </c>
      <c r="W285" s="9">
        <f t="shared" si="22"/>
        <v>0</v>
      </c>
      <c r="X285" s="9">
        <f t="shared" si="23"/>
        <v>0</v>
      </c>
      <c r="Y285" s="9">
        <f t="shared" si="24"/>
        <v>0</v>
      </c>
      <c r="Z285" s="8"/>
      <c r="AA285" s="8"/>
      <c r="AB285" s="8"/>
      <c r="AC285" s="8"/>
      <c r="AD285" s="8"/>
    </row>
    <row r="286" spans="1:30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9">
        <f t="shared" si="20"/>
        <v>0</v>
      </c>
      <c r="V286" s="9">
        <f t="shared" si="21"/>
        <v>0</v>
      </c>
      <c r="W286" s="9">
        <f t="shared" si="22"/>
        <v>0</v>
      </c>
      <c r="X286" s="9">
        <f t="shared" si="23"/>
        <v>0</v>
      </c>
      <c r="Y286" s="9">
        <f t="shared" si="24"/>
        <v>0</v>
      </c>
      <c r="Z286" s="8"/>
      <c r="AA286" s="8"/>
      <c r="AB286" s="8"/>
      <c r="AC286" s="8"/>
      <c r="AD286" s="8"/>
    </row>
    <row r="287" spans="1:30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>
        <f t="shared" si="20"/>
        <v>0</v>
      </c>
      <c r="V287" s="9">
        <f t="shared" si="21"/>
        <v>0</v>
      </c>
      <c r="W287" s="9">
        <f t="shared" si="22"/>
        <v>0</v>
      </c>
      <c r="X287" s="9">
        <f t="shared" si="23"/>
        <v>0</v>
      </c>
      <c r="Y287" s="9">
        <f t="shared" si="24"/>
        <v>0</v>
      </c>
      <c r="Z287" s="8"/>
      <c r="AA287" s="8"/>
      <c r="AB287" s="8"/>
      <c r="AC287" s="8"/>
      <c r="AD287" s="8"/>
    </row>
    <row r="288" spans="1:30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9">
        <f t="shared" si="20"/>
        <v>0</v>
      </c>
      <c r="V288" s="9">
        <f t="shared" si="21"/>
        <v>0</v>
      </c>
      <c r="W288" s="9">
        <f t="shared" si="22"/>
        <v>0</v>
      </c>
      <c r="X288" s="9">
        <f t="shared" si="23"/>
        <v>0</v>
      </c>
      <c r="Y288" s="9">
        <f t="shared" si="24"/>
        <v>0</v>
      </c>
      <c r="Z288" s="8"/>
      <c r="AA288" s="8"/>
      <c r="AB288" s="8"/>
      <c r="AC288" s="8"/>
      <c r="AD288" s="8"/>
    </row>
    <row r="289" spans="1:30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9">
        <f t="shared" si="20"/>
        <v>0</v>
      </c>
      <c r="V289" s="9">
        <f t="shared" si="21"/>
        <v>0</v>
      </c>
      <c r="W289" s="9">
        <f t="shared" si="22"/>
        <v>0</v>
      </c>
      <c r="X289" s="9">
        <f t="shared" si="23"/>
        <v>0</v>
      </c>
      <c r="Y289" s="9">
        <f t="shared" si="24"/>
        <v>0</v>
      </c>
      <c r="Z289" s="8"/>
      <c r="AA289" s="8"/>
      <c r="AB289" s="8"/>
      <c r="AC289" s="8"/>
      <c r="AD289" s="8"/>
    </row>
    <row r="290" spans="1:3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9">
        <f t="shared" si="20"/>
        <v>0</v>
      </c>
      <c r="V290" s="9">
        <f t="shared" si="21"/>
        <v>0</v>
      </c>
      <c r="W290" s="9">
        <f t="shared" si="22"/>
        <v>0</v>
      </c>
      <c r="X290" s="9">
        <f t="shared" si="23"/>
        <v>0</v>
      </c>
      <c r="Y290" s="9">
        <f t="shared" si="24"/>
        <v>0</v>
      </c>
      <c r="Z290" s="8"/>
      <c r="AA290" s="8"/>
      <c r="AB290" s="8"/>
      <c r="AC290" s="8"/>
      <c r="AD290" s="8"/>
    </row>
    <row r="291" spans="1:30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9">
        <f t="shared" si="20"/>
        <v>0</v>
      </c>
      <c r="V291" s="9">
        <f t="shared" si="21"/>
        <v>0</v>
      </c>
      <c r="W291" s="9">
        <f t="shared" si="22"/>
        <v>0</v>
      </c>
      <c r="X291" s="9">
        <f t="shared" si="23"/>
        <v>0</v>
      </c>
      <c r="Y291" s="9">
        <f t="shared" si="24"/>
        <v>0</v>
      </c>
      <c r="Z291" s="8"/>
      <c r="AA291" s="8"/>
      <c r="AB291" s="8"/>
      <c r="AC291" s="8"/>
      <c r="AD291" s="8"/>
    </row>
    <row r="292" spans="1:30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9">
        <f t="shared" si="20"/>
        <v>0</v>
      </c>
      <c r="V292" s="9">
        <f t="shared" si="21"/>
        <v>0</v>
      </c>
      <c r="W292" s="9">
        <f t="shared" si="22"/>
        <v>0</v>
      </c>
      <c r="X292" s="9">
        <f t="shared" si="23"/>
        <v>0</v>
      </c>
      <c r="Y292" s="9">
        <f t="shared" si="24"/>
        <v>0</v>
      </c>
      <c r="Z292" s="8"/>
      <c r="AA292" s="8"/>
      <c r="AB292" s="8"/>
      <c r="AC292" s="8"/>
      <c r="AD292" s="8"/>
    </row>
    <row r="293" spans="1:30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9">
        <f t="shared" si="20"/>
        <v>0</v>
      </c>
      <c r="V293" s="9">
        <f t="shared" si="21"/>
        <v>0</v>
      </c>
      <c r="W293" s="9">
        <f t="shared" si="22"/>
        <v>0</v>
      </c>
      <c r="X293" s="9">
        <f t="shared" si="23"/>
        <v>0</v>
      </c>
      <c r="Y293" s="9">
        <f t="shared" si="24"/>
        <v>0</v>
      </c>
      <c r="Z293" s="8"/>
      <c r="AA293" s="8"/>
      <c r="AB293" s="8"/>
      <c r="AC293" s="8"/>
      <c r="AD293" s="8"/>
    </row>
    <row r="294" spans="1:30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9">
        <f t="shared" si="20"/>
        <v>0</v>
      </c>
      <c r="V294" s="9">
        <f t="shared" si="21"/>
        <v>0</v>
      </c>
      <c r="W294" s="9">
        <f t="shared" si="22"/>
        <v>0</v>
      </c>
      <c r="X294" s="9">
        <f t="shared" si="23"/>
        <v>0</v>
      </c>
      <c r="Y294" s="9">
        <f t="shared" si="24"/>
        <v>0</v>
      </c>
      <c r="Z294" s="8"/>
      <c r="AA294" s="8"/>
      <c r="AB294" s="8"/>
      <c r="AC294" s="8"/>
      <c r="AD294" s="8"/>
    </row>
    <row r="295" spans="1:30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9">
        <f t="shared" si="20"/>
        <v>0</v>
      </c>
      <c r="V295" s="9">
        <f t="shared" si="21"/>
        <v>0</v>
      </c>
      <c r="W295" s="9">
        <f t="shared" si="22"/>
        <v>0</v>
      </c>
      <c r="X295" s="9">
        <f t="shared" si="23"/>
        <v>0</v>
      </c>
      <c r="Y295" s="9">
        <f t="shared" si="24"/>
        <v>0</v>
      </c>
      <c r="Z295" s="8"/>
      <c r="AA295" s="8"/>
      <c r="AB295" s="8"/>
      <c r="AC295" s="8"/>
      <c r="AD295" s="8"/>
    </row>
    <row r="296" spans="1:30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9">
        <f t="shared" si="20"/>
        <v>0</v>
      </c>
      <c r="V296" s="9">
        <f t="shared" si="21"/>
        <v>0</v>
      </c>
      <c r="W296" s="9">
        <f t="shared" si="22"/>
        <v>0</v>
      </c>
      <c r="X296" s="9">
        <f t="shared" si="23"/>
        <v>0</v>
      </c>
      <c r="Y296" s="9">
        <f t="shared" si="24"/>
        <v>0</v>
      </c>
      <c r="Z296" s="8"/>
      <c r="AA296" s="8"/>
      <c r="AB296" s="8"/>
      <c r="AC296" s="8"/>
      <c r="AD296" s="8"/>
    </row>
    <row r="297" spans="1:30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9">
        <f t="shared" si="20"/>
        <v>0</v>
      </c>
      <c r="V297" s="9">
        <f t="shared" si="21"/>
        <v>0</v>
      </c>
      <c r="W297" s="9">
        <f t="shared" si="22"/>
        <v>0</v>
      </c>
      <c r="X297" s="9">
        <f t="shared" si="23"/>
        <v>0</v>
      </c>
      <c r="Y297" s="9">
        <f t="shared" si="24"/>
        <v>0</v>
      </c>
      <c r="Z297" s="8"/>
      <c r="AA297" s="8"/>
      <c r="AB297" s="8"/>
      <c r="AC297" s="8"/>
      <c r="AD297" s="8"/>
    </row>
    <row r="298" spans="1:30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9">
        <f t="shared" si="20"/>
        <v>0</v>
      </c>
      <c r="V298" s="9">
        <f t="shared" si="21"/>
        <v>0</v>
      </c>
      <c r="W298" s="9">
        <f t="shared" si="22"/>
        <v>0</v>
      </c>
      <c r="X298" s="9">
        <f t="shared" si="23"/>
        <v>0</v>
      </c>
      <c r="Y298" s="9">
        <f t="shared" si="24"/>
        <v>0</v>
      </c>
      <c r="Z298" s="8"/>
      <c r="AA298" s="8"/>
      <c r="AB298" s="8"/>
      <c r="AC298" s="8"/>
      <c r="AD298" s="8"/>
    </row>
    <row r="299" spans="1:30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9">
        <f t="shared" si="20"/>
        <v>0</v>
      </c>
      <c r="V299" s="9">
        <f t="shared" si="21"/>
        <v>0</v>
      </c>
      <c r="W299" s="9">
        <f t="shared" si="22"/>
        <v>0</v>
      </c>
      <c r="X299" s="9">
        <f t="shared" si="23"/>
        <v>0</v>
      </c>
      <c r="Y299" s="9">
        <f t="shared" si="24"/>
        <v>0</v>
      </c>
      <c r="Z299" s="8"/>
      <c r="AA299" s="8"/>
      <c r="AB299" s="8"/>
      <c r="AC299" s="8"/>
      <c r="AD299" s="8"/>
    </row>
    <row r="300" spans="1:3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9">
        <f t="shared" si="20"/>
        <v>0</v>
      </c>
      <c r="V300" s="9">
        <f t="shared" si="21"/>
        <v>0</v>
      </c>
      <c r="W300" s="9">
        <f t="shared" si="22"/>
        <v>0</v>
      </c>
      <c r="X300" s="9">
        <f t="shared" si="23"/>
        <v>0</v>
      </c>
      <c r="Y300" s="9">
        <f t="shared" si="24"/>
        <v>0</v>
      </c>
      <c r="Z300" s="8"/>
      <c r="AA300" s="8"/>
      <c r="AB300" s="8"/>
      <c r="AC300" s="8"/>
      <c r="AD300" s="8"/>
    </row>
    <row r="301" spans="1:30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9">
        <f t="shared" si="20"/>
        <v>0</v>
      </c>
      <c r="V301" s="9">
        <f t="shared" si="21"/>
        <v>0</v>
      </c>
      <c r="W301" s="9">
        <f t="shared" si="22"/>
        <v>0</v>
      </c>
      <c r="X301" s="9">
        <f t="shared" si="23"/>
        <v>0</v>
      </c>
      <c r="Y301" s="9">
        <f t="shared" si="24"/>
        <v>0</v>
      </c>
      <c r="Z301" s="8"/>
      <c r="AA301" s="8"/>
      <c r="AB301" s="8"/>
      <c r="AC301" s="8"/>
      <c r="AD301" s="8"/>
    </row>
  </sheetData>
  <phoneticPr fontId="10"/>
  <conditionalFormatting sqref="V2:V301">
    <cfRule type="dataBar" priority="1">
      <dataBar>
        <cfvo type="min"/>
        <cfvo type="max"/>
        <color rgb="FF15803D"/>
      </dataBar>
    </cfRule>
    <cfRule type="dataBar" priority="2">
      <dataBar>
        <cfvo type="min"/>
        <cfvo type="max"/>
        <color rgb="FF15803D"/>
      </dataBar>
      <extLst>
        <ext xmlns:x14="http://schemas.microsoft.com/office/spreadsheetml/2009/9/main" uri="{B025F937-C7B1-47D3-B67F-A62EFF666E3E}">
          <x14:id>{CBC91744-3941-09D4-B2A2-2D947E800027}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91744-3941-09D4-B2A2-2D947E800027}">
            <x14:dataBar>
              <x14:cfvo type="min"/>
              <x14:cfvo type="max"/>
              <x14:negativeFillColor auto="1"/>
              <x14:axisColor auto="1"/>
            </x14:dataBar>
          </x14:cfRule>
          <xm:sqref>V2:V301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設定!$F$2:$F$6</xm:f>
          </x14:formula1>
          <xm:sqref>D2:D301</xm:sqref>
        </x14:dataValidation>
        <x14:dataValidation type="list" xr:uid="{00000000-0002-0000-0000-000001000000}">
          <x14:formula1>
            <xm:f>設定!$J$2:$J$6</xm:f>
          </x14:formula1>
          <xm:sqref>Z2:AB301</xm:sqref>
        </x14:dataValidation>
        <x14:dataValidation type="list" xr:uid="{00000000-0002-0000-0000-000002000000}">
          <x14:formula1>
            <xm:f>設定!$B$2:$B$7</xm:f>
          </x14:formula1>
          <xm:sqref>AC2:AC301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3"/>
  <sheetViews>
    <sheetView workbookViewId="0">
      <selection activeCell="C30" sqref="C30"/>
    </sheetView>
  </sheetViews>
  <sheetFormatPr defaultRowHeight="14.25"/>
  <cols>
    <col min="1" max="1" width="16" customWidth="1"/>
    <col min="2" max="2" width="20" customWidth="1"/>
    <col min="3" max="3" width="30" customWidth="1"/>
    <col min="4" max="4" width="20" customWidth="1"/>
    <col min="5" max="8" width="16" customWidth="1"/>
    <col min="10" max="15" width="16" customWidth="1"/>
  </cols>
  <sheetData>
    <row r="1" spans="1:15" ht="19.5">
      <c r="A1" s="20" t="s">
        <v>39</v>
      </c>
      <c r="B1" s="18"/>
      <c r="C1" s="18"/>
      <c r="D1" s="18"/>
      <c r="E1" s="18"/>
      <c r="F1" s="21"/>
      <c r="G1" s="21"/>
      <c r="H1" s="18"/>
    </row>
    <row r="3" spans="1:15" ht="15">
      <c r="A3" s="1" t="s">
        <v>40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20</v>
      </c>
      <c r="G3" s="1" t="s">
        <v>21</v>
      </c>
      <c r="H3" s="1" t="s">
        <v>28</v>
      </c>
      <c r="J3" s="22" t="s">
        <v>41</v>
      </c>
      <c r="K3" s="18"/>
      <c r="L3" s="18"/>
      <c r="M3" s="18"/>
      <c r="N3" s="18"/>
      <c r="O3" s="18"/>
    </row>
    <row r="4" spans="1:15" ht="15">
      <c r="A4" s="23" t="s">
        <v>42</v>
      </c>
      <c r="B4" s="24"/>
      <c r="C4" s="24"/>
      <c r="D4" s="24"/>
      <c r="E4" s="24"/>
      <c r="F4" s="24"/>
      <c r="G4" s="24"/>
      <c r="H4" s="24"/>
      <c r="J4" s="10" t="s">
        <v>43</v>
      </c>
      <c r="K4" s="11">
        <f>COUNTA(検証ログ!B2:B301)</f>
        <v>9</v>
      </c>
      <c r="L4" s="10"/>
      <c r="M4" s="10" t="s">
        <v>44</v>
      </c>
      <c r="N4" s="12">
        <f>MAX(検証ログ!V2:V301)</f>
        <v>199380</v>
      </c>
      <c r="O4" s="10"/>
    </row>
    <row r="5" spans="1:15">
      <c r="A5" s="4"/>
      <c r="B5" s="4"/>
      <c r="C5" s="4"/>
      <c r="D5" s="4"/>
      <c r="E5" s="4"/>
      <c r="F5" s="4"/>
      <c r="G5" s="4"/>
      <c r="H5" s="4"/>
      <c r="J5" s="10" t="s">
        <v>45</v>
      </c>
      <c r="K5" s="11">
        <f>SUM(検証ログ!E2:E301)</f>
        <v>20</v>
      </c>
      <c r="L5" s="10"/>
      <c r="M5" s="10" t="s">
        <v>46</v>
      </c>
      <c r="N5" s="12">
        <f>IFERROR(AVERAGEIF(検証ログ!V2:V301,"&gt;0"),0)</f>
        <v>132315</v>
      </c>
      <c r="O5" s="10"/>
    </row>
    <row r="6" spans="1:15" ht="15">
      <c r="A6" s="1" t="s">
        <v>40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20</v>
      </c>
      <c r="G6" s="1" t="s">
        <v>21</v>
      </c>
      <c r="H6" s="1" t="s">
        <v>29</v>
      </c>
      <c r="J6" s="10" t="s">
        <v>47</v>
      </c>
      <c r="K6" s="11">
        <f>SUM(検証ログ!H2:H301)</f>
        <v>13</v>
      </c>
      <c r="L6" s="10"/>
      <c r="M6" s="10" t="s">
        <v>48</v>
      </c>
      <c r="N6" s="12">
        <f>SUM(検証ログ!K2:K301)</f>
        <v>1</v>
      </c>
      <c r="O6" s="10"/>
    </row>
    <row r="7" spans="1:15">
      <c r="A7" s="4">
        <v>1</v>
      </c>
      <c r="B7" s="4"/>
      <c r="C7" s="4"/>
      <c r="D7" s="4"/>
      <c r="E7" s="4"/>
      <c r="F7" s="4"/>
      <c r="G7" s="4"/>
      <c r="H7" s="4"/>
      <c r="J7" s="10" t="s">
        <v>49</v>
      </c>
      <c r="K7" s="11">
        <f>SUM(検証ログ!M2:M301)+SUM(検証ログ!O2:O301)+SUM(検証ログ!Q2:Q301)+SUM(検証ログ!S2:S301)</f>
        <v>3</v>
      </c>
      <c r="L7" s="10"/>
      <c r="M7" s="10" t="s">
        <v>20</v>
      </c>
      <c r="N7" s="12">
        <f>SUM(検証ログ!U2:U301)</f>
        <v>44105</v>
      </c>
      <c r="O7" s="10"/>
    </row>
    <row r="8" spans="1:15">
      <c r="A8" s="4">
        <v>2</v>
      </c>
      <c r="B8" s="4"/>
      <c r="C8" s="4"/>
      <c r="D8" s="4"/>
      <c r="E8" s="4"/>
      <c r="F8" s="4"/>
      <c r="G8" s="4"/>
      <c r="H8" s="4"/>
      <c r="J8" s="10"/>
      <c r="K8" s="11"/>
      <c r="L8" s="10"/>
      <c r="M8" s="10"/>
      <c r="N8" s="12"/>
      <c r="O8" s="10"/>
    </row>
    <row r="9" spans="1:15">
      <c r="A9" s="4">
        <v>3</v>
      </c>
      <c r="B9" s="4"/>
      <c r="C9" s="4"/>
      <c r="D9" s="4"/>
      <c r="E9" s="4"/>
      <c r="F9" s="4"/>
      <c r="G9" s="4"/>
      <c r="H9" s="4"/>
    </row>
    <row r="10" spans="1:15">
      <c r="A10" s="4">
        <v>4</v>
      </c>
      <c r="B10" s="4"/>
      <c r="C10" s="4"/>
      <c r="D10" s="4"/>
      <c r="E10" s="4"/>
      <c r="F10" s="4"/>
      <c r="G10" s="4"/>
      <c r="H10" s="4"/>
    </row>
    <row r="11" spans="1:15">
      <c r="A11" s="4">
        <v>5</v>
      </c>
      <c r="B11" s="4"/>
      <c r="C11" s="4"/>
      <c r="D11" s="4"/>
      <c r="E11" s="4"/>
      <c r="F11" s="4"/>
      <c r="G11" s="4"/>
      <c r="H11" s="4"/>
    </row>
    <row r="12" spans="1:15">
      <c r="A12" s="4">
        <v>6</v>
      </c>
      <c r="B12" s="4"/>
      <c r="C12" s="4"/>
      <c r="D12" s="4"/>
      <c r="E12" s="4"/>
      <c r="F12" s="4"/>
      <c r="G12" s="4"/>
      <c r="H12" s="4"/>
    </row>
    <row r="13" spans="1:15">
      <c r="A13" s="4">
        <v>7</v>
      </c>
      <c r="B13" s="4"/>
      <c r="C13" s="4"/>
      <c r="D13" s="4"/>
      <c r="E13" s="4"/>
      <c r="F13" s="4"/>
      <c r="G13" s="4"/>
      <c r="H13" s="4"/>
    </row>
    <row r="14" spans="1:15">
      <c r="A14" s="4">
        <v>8</v>
      </c>
      <c r="B14" s="4"/>
      <c r="C14" s="4"/>
      <c r="D14" s="4"/>
      <c r="E14" s="4"/>
      <c r="F14" s="4"/>
      <c r="G14" s="4"/>
      <c r="H14" s="4"/>
    </row>
    <row r="15" spans="1:15">
      <c r="A15" s="4">
        <v>9</v>
      </c>
      <c r="B15" s="4"/>
      <c r="C15" s="4"/>
      <c r="D15" s="4"/>
      <c r="E15" s="4"/>
      <c r="F15" s="4"/>
      <c r="G15" s="4"/>
      <c r="H15" s="4"/>
    </row>
    <row r="16" spans="1:15">
      <c r="A16" s="4">
        <v>10</v>
      </c>
      <c r="B16" s="4"/>
      <c r="C16" s="4"/>
      <c r="D16" s="4"/>
      <c r="E16" s="4"/>
      <c r="F16" s="4"/>
      <c r="G16" s="4"/>
      <c r="H16" s="4"/>
    </row>
    <row r="17" spans="1:8">
      <c r="A17" s="4">
        <v>11</v>
      </c>
      <c r="B17" s="4"/>
      <c r="C17" s="4"/>
      <c r="D17" s="4"/>
      <c r="E17" s="4"/>
      <c r="F17" s="4"/>
      <c r="G17" s="4"/>
      <c r="H17" s="4"/>
    </row>
    <row r="18" spans="1:8">
      <c r="A18" s="4">
        <v>12</v>
      </c>
      <c r="B18" s="4"/>
      <c r="C18" s="4"/>
      <c r="D18" s="4"/>
      <c r="E18" s="4"/>
      <c r="F18" s="4"/>
      <c r="G18" s="4"/>
      <c r="H18" s="4"/>
    </row>
    <row r="19" spans="1:8">
      <c r="A19" s="4">
        <v>13</v>
      </c>
      <c r="B19" s="4"/>
      <c r="C19" s="4"/>
      <c r="D19" s="4"/>
      <c r="E19" s="4"/>
      <c r="F19" s="4"/>
      <c r="G19" s="4"/>
      <c r="H19" s="4"/>
    </row>
    <row r="20" spans="1:8">
      <c r="A20" s="4">
        <v>14</v>
      </c>
      <c r="B20" s="4"/>
      <c r="C20" s="4"/>
      <c r="D20" s="4"/>
      <c r="E20" s="4"/>
      <c r="F20" s="4"/>
      <c r="G20" s="4"/>
      <c r="H20" s="4"/>
    </row>
    <row r="21" spans="1:8">
      <c r="A21" s="4">
        <v>15</v>
      </c>
      <c r="B21" s="4"/>
      <c r="C21" s="4"/>
      <c r="D21" s="4"/>
      <c r="E21" s="4"/>
      <c r="F21" s="4"/>
      <c r="G21" s="4"/>
      <c r="H21" s="4"/>
    </row>
    <row r="22" spans="1:8">
      <c r="A22" s="4">
        <v>16</v>
      </c>
      <c r="B22" s="4"/>
      <c r="C22" s="4"/>
      <c r="D22" s="4"/>
      <c r="E22" s="4"/>
      <c r="F22" s="4"/>
      <c r="G22" s="4"/>
      <c r="H22" s="4"/>
    </row>
    <row r="23" spans="1:8">
      <c r="A23" s="4">
        <v>17</v>
      </c>
      <c r="B23" s="4"/>
      <c r="C23" s="4"/>
      <c r="D23" s="4"/>
      <c r="E23" s="4"/>
      <c r="F23" s="4"/>
      <c r="G23" s="4"/>
      <c r="H23" s="4"/>
    </row>
    <row r="24" spans="1:8">
      <c r="A24" s="4">
        <v>18</v>
      </c>
      <c r="B24" s="4"/>
      <c r="C24" s="4"/>
      <c r="D24" s="4"/>
      <c r="E24" s="4"/>
      <c r="F24" s="4"/>
      <c r="G24" s="4"/>
      <c r="H24" s="4"/>
    </row>
    <row r="25" spans="1:8">
      <c r="A25" s="4">
        <v>19</v>
      </c>
      <c r="B25" s="4"/>
      <c r="C25" s="4"/>
      <c r="D25" s="4"/>
      <c r="E25" s="4"/>
      <c r="F25" s="4"/>
      <c r="G25" s="4"/>
      <c r="H25" s="4"/>
    </row>
    <row r="26" spans="1:8">
      <c r="A26" s="4">
        <v>20</v>
      </c>
      <c r="B26" s="4"/>
      <c r="C26" s="4"/>
      <c r="D26" s="4"/>
      <c r="E26" s="4"/>
      <c r="F26" s="4"/>
      <c r="G26" s="4"/>
      <c r="H26" s="4"/>
    </row>
    <row r="27" spans="1:8">
      <c r="A27" s="4">
        <v>21</v>
      </c>
      <c r="B27" s="4"/>
      <c r="C27" s="4"/>
      <c r="D27" s="4"/>
      <c r="E27" s="4"/>
      <c r="F27" s="4"/>
      <c r="G27" s="4"/>
      <c r="H27" s="4"/>
    </row>
    <row r="28" spans="1:8">
      <c r="A28" s="4">
        <v>22</v>
      </c>
      <c r="B28" s="4"/>
      <c r="C28" s="4"/>
      <c r="D28" s="4"/>
      <c r="E28" s="4"/>
      <c r="F28" s="4"/>
      <c r="G28" s="4"/>
      <c r="H28" s="4"/>
    </row>
    <row r="29" spans="1:8">
      <c r="A29" s="4">
        <v>23</v>
      </c>
      <c r="B29" s="4"/>
      <c r="C29" s="4"/>
      <c r="D29" s="4"/>
      <c r="E29" s="4"/>
      <c r="F29" s="4"/>
      <c r="G29" s="4"/>
      <c r="H29" s="4"/>
    </row>
    <row r="30" spans="1:8">
      <c r="A30" s="4">
        <v>24</v>
      </c>
      <c r="B30" s="4"/>
      <c r="C30" s="4"/>
      <c r="D30" s="4"/>
      <c r="E30" s="4"/>
      <c r="F30" s="4"/>
      <c r="G30" s="4"/>
      <c r="H30" s="4"/>
    </row>
    <row r="31" spans="1:8">
      <c r="A31" s="4">
        <v>25</v>
      </c>
      <c r="B31" s="4"/>
      <c r="C31" s="4"/>
      <c r="D31" s="4"/>
      <c r="E31" s="4"/>
      <c r="F31" s="4"/>
      <c r="G31" s="4"/>
      <c r="H31" s="4"/>
    </row>
    <row r="32" spans="1:8">
      <c r="A32" s="4">
        <v>26</v>
      </c>
      <c r="B32" s="4"/>
      <c r="C32" s="4"/>
      <c r="D32" s="4"/>
      <c r="E32" s="4"/>
      <c r="F32" s="4"/>
      <c r="G32" s="4"/>
      <c r="H32" s="4"/>
    </row>
    <row r="33" spans="1:8">
      <c r="A33" s="4">
        <v>27</v>
      </c>
      <c r="B33" s="4"/>
      <c r="C33" s="4"/>
      <c r="D33" s="4"/>
      <c r="E33" s="4"/>
      <c r="F33" s="4"/>
      <c r="G33" s="4"/>
      <c r="H33" s="4"/>
    </row>
    <row r="34" spans="1:8">
      <c r="A34" s="4">
        <v>28</v>
      </c>
      <c r="B34" s="4"/>
      <c r="C34" s="4"/>
      <c r="D34" s="4"/>
      <c r="E34" s="4"/>
      <c r="F34" s="4"/>
      <c r="G34" s="4"/>
      <c r="H34" s="4"/>
    </row>
    <row r="35" spans="1:8">
      <c r="A35" s="4">
        <v>29</v>
      </c>
      <c r="B35" s="4"/>
      <c r="C35" s="4"/>
      <c r="D35" s="4"/>
      <c r="E35" s="4"/>
      <c r="F35" s="4"/>
      <c r="G35" s="4"/>
      <c r="H35" s="4"/>
    </row>
    <row r="36" spans="1:8">
      <c r="A36" s="4">
        <v>30</v>
      </c>
      <c r="B36" s="4"/>
      <c r="C36" s="4"/>
      <c r="D36" s="4"/>
      <c r="E36" s="4"/>
      <c r="F36" s="4"/>
      <c r="G36" s="4"/>
      <c r="H36" s="4"/>
    </row>
    <row r="37" spans="1:8">
      <c r="A37" s="4">
        <v>31</v>
      </c>
      <c r="B37" s="4"/>
      <c r="C37" s="4"/>
      <c r="D37" s="4"/>
      <c r="E37" s="4"/>
      <c r="F37" s="4"/>
      <c r="G37" s="4"/>
      <c r="H37" s="4"/>
    </row>
    <row r="38" spans="1:8">
      <c r="A38" s="4">
        <v>32</v>
      </c>
      <c r="B38" s="4"/>
      <c r="C38" s="4"/>
      <c r="D38" s="4"/>
      <c r="E38" s="4"/>
      <c r="F38" s="4"/>
      <c r="G38" s="4"/>
      <c r="H38" s="4"/>
    </row>
    <row r="39" spans="1:8">
      <c r="A39" s="4">
        <v>33</v>
      </c>
      <c r="B39" s="4"/>
      <c r="C39" s="4"/>
      <c r="D39" s="4"/>
      <c r="E39" s="4"/>
      <c r="F39" s="4"/>
      <c r="G39" s="4"/>
      <c r="H39" s="4"/>
    </row>
    <row r="40" spans="1:8">
      <c r="A40" s="4">
        <v>34</v>
      </c>
      <c r="B40" s="4"/>
      <c r="C40" s="4"/>
      <c r="D40" s="4"/>
      <c r="E40" s="4"/>
      <c r="F40" s="4"/>
      <c r="G40" s="4"/>
      <c r="H40" s="4"/>
    </row>
    <row r="41" spans="1:8">
      <c r="A41" s="4">
        <v>35</v>
      </c>
      <c r="B41" s="4"/>
      <c r="C41" s="4"/>
      <c r="D41" s="4"/>
      <c r="E41" s="4"/>
      <c r="F41" s="4"/>
      <c r="G41" s="4"/>
      <c r="H41" s="4"/>
    </row>
    <row r="42" spans="1:8">
      <c r="A42" s="4">
        <v>36</v>
      </c>
      <c r="B42" s="4"/>
      <c r="C42" s="4"/>
      <c r="D42" s="4"/>
      <c r="E42" s="4"/>
      <c r="F42" s="4"/>
      <c r="G42" s="4"/>
      <c r="H42" s="4"/>
    </row>
    <row r="43" spans="1:8">
      <c r="A43" s="4">
        <v>37</v>
      </c>
      <c r="B43" s="4"/>
      <c r="C43" s="4"/>
      <c r="D43" s="4"/>
      <c r="E43" s="4"/>
      <c r="F43" s="4"/>
      <c r="G43" s="4"/>
      <c r="H43" s="4"/>
    </row>
    <row r="44" spans="1:8">
      <c r="A44" s="4">
        <v>38</v>
      </c>
      <c r="B44" s="4"/>
      <c r="C44" s="4"/>
      <c r="D44" s="4"/>
      <c r="E44" s="4"/>
      <c r="F44" s="4"/>
      <c r="G44" s="4"/>
      <c r="H44" s="4"/>
    </row>
    <row r="45" spans="1:8">
      <c r="A45" s="4">
        <v>39</v>
      </c>
      <c r="B45" s="4"/>
      <c r="C45" s="4"/>
      <c r="D45" s="4"/>
      <c r="E45" s="4"/>
      <c r="F45" s="4"/>
      <c r="G45" s="4"/>
      <c r="H45" s="4"/>
    </row>
    <row r="46" spans="1:8">
      <c r="A46" s="4">
        <v>40</v>
      </c>
      <c r="B46" s="4"/>
      <c r="C46" s="4"/>
      <c r="D46" s="4"/>
      <c r="E46" s="4"/>
      <c r="F46" s="4"/>
      <c r="G46" s="4"/>
      <c r="H46" s="4"/>
    </row>
    <row r="47" spans="1:8">
      <c r="A47" s="4">
        <v>41</v>
      </c>
      <c r="B47" s="4"/>
      <c r="C47" s="4"/>
      <c r="D47" s="4"/>
      <c r="E47" s="4"/>
      <c r="F47" s="4"/>
      <c r="G47" s="4"/>
      <c r="H47" s="4"/>
    </row>
    <row r="48" spans="1:8">
      <c r="A48" s="4">
        <v>42</v>
      </c>
      <c r="B48" s="4"/>
      <c r="C48" s="4"/>
      <c r="D48" s="4"/>
      <c r="E48" s="4"/>
      <c r="F48" s="4"/>
      <c r="G48" s="4"/>
      <c r="H48" s="4"/>
    </row>
    <row r="49" spans="1:8">
      <c r="A49" s="4">
        <v>43</v>
      </c>
      <c r="B49" s="4"/>
      <c r="C49" s="4"/>
      <c r="D49" s="4"/>
      <c r="E49" s="4"/>
      <c r="F49" s="4"/>
      <c r="G49" s="4"/>
      <c r="H49" s="4"/>
    </row>
    <row r="50" spans="1:8">
      <c r="A50" s="4">
        <v>44</v>
      </c>
      <c r="B50" s="4"/>
      <c r="C50" s="4"/>
      <c r="D50" s="4"/>
      <c r="E50" s="4"/>
      <c r="F50" s="4"/>
      <c r="G50" s="4"/>
      <c r="H50" s="4"/>
    </row>
    <row r="51" spans="1:8">
      <c r="A51" s="4">
        <v>45</v>
      </c>
      <c r="B51" s="4"/>
      <c r="C51" s="4"/>
      <c r="D51" s="4"/>
      <c r="E51" s="4"/>
      <c r="F51" s="4"/>
      <c r="G51" s="4"/>
      <c r="H51" s="4"/>
    </row>
    <row r="52" spans="1:8">
      <c r="A52" s="4">
        <v>46</v>
      </c>
      <c r="B52" s="4"/>
      <c r="C52" s="4"/>
      <c r="D52" s="4"/>
      <c r="E52" s="4"/>
      <c r="F52" s="4"/>
      <c r="G52" s="4"/>
      <c r="H52" s="4"/>
    </row>
    <row r="53" spans="1:8">
      <c r="A53" s="4">
        <v>47</v>
      </c>
      <c r="B53" s="4"/>
      <c r="C53" s="4"/>
      <c r="D53" s="4"/>
      <c r="E53" s="4"/>
      <c r="F53" s="4"/>
      <c r="G53" s="4"/>
      <c r="H53" s="4"/>
    </row>
    <row r="54" spans="1:8">
      <c r="A54" s="4">
        <v>48</v>
      </c>
      <c r="B54" s="4"/>
      <c r="C54" s="4"/>
      <c r="D54" s="4"/>
      <c r="E54" s="4"/>
      <c r="F54" s="4"/>
      <c r="G54" s="4"/>
      <c r="H54" s="4"/>
    </row>
    <row r="55" spans="1:8">
      <c r="A55" s="4">
        <v>49</v>
      </c>
      <c r="B55" s="4"/>
      <c r="C55" s="4"/>
      <c r="D55" s="4"/>
      <c r="E55" s="4"/>
      <c r="F55" s="4"/>
      <c r="G55" s="4"/>
      <c r="H55" s="4"/>
    </row>
    <row r="56" spans="1:8">
      <c r="A56" s="4">
        <v>50</v>
      </c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  <row r="97" spans="1:8">
      <c r="A97" s="4"/>
      <c r="B97" s="4"/>
      <c r="C97" s="4"/>
      <c r="D97" s="4"/>
      <c r="E97" s="4"/>
      <c r="F97" s="4"/>
      <c r="G97" s="4"/>
      <c r="H97" s="4"/>
    </row>
    <row r="98" spans="1:8">
      <c r="A98" s="4"/>
      <c r="B98" s="4"/>
      <c r="C98" s="4"/>
      <c r="D98" s="4"/>
      <c r="E98" s="4"/>
      <c r="F98" s="4"/>
      <c r="G98" s="4"/>
      <c r="H98" s="4"/>
    </row>
    <row r="99" spans="1:8">
      <c r="A99" s="4"/>
      <c r="B99" s="4"/>
      <c r="C99" s="4"/>
      <c r="D99" s="4"/>
      <c r="E99" s="4"/>
      <c r="F99" s="4"/>
      <c r="G99" s="4"/>
      <c r="H99" s="4"/>
    </row>
    <row r="100" spans="1:8">
      <c r="A100" s="4"/>
      <c r="B100" s="4"/>
      <c r="C100" s="4"/>
      <c r="D100" s="4"/>
      <c r="E100" s="4"/>
      <c r="F100" s="4"/>
      <c r="G100" s="4"/>
      <c r="H100" s="4"/>
    </row>
    <row r="101" spans="1:8">
      <c r="A101" s="4"/>
      <c r="B101" s="4"/>
      <c r="C101" s="4"/>
      <c r="D101" s="4"/>
      <c r="E101" s="4"/>
      <c r="F101" s="4"/>
      <c r="G101" s="4"/>
      <c r="H101" s="4"/>
    </row>
    <row r="102" spans="1:8">
      <c r="A102" s="4"/>
      <c r="B102" s="4"/>
      <c r="C102" s="4"/>
      <c r="D102" s="4"/>
      <c r="E102" s="4"/>
      <c r="F102" s="4"/>
      <c r="G102" s="4"/>
      <c r="H102" s="4"/>
    </row>
    <row r="103" spans="1:8">
      <c r="A103" s="4"/>
      <c r="B103" s="4"/>
      <c r="C103" s="4"/>
      <c r="D103" s="4"/>
      <c r="E103" s="4"/>
      <c r="F103" s="4"/>
      <c r="G103" s="4"/>
      <c r="H103" s="4"/>
    </row>
  </sheetData>
  <mergeCells count="3">
    <mergeCell ref="A1:H1"/>
    <mergeCell ref="J3:O3"/>
    <mergeCell ref="A4:H4"/>
  </mergeCells>
  <phoneticPr fontId="10"/>
  <conditionalFormatting sqref="G4:G103">
    <cfRule type="dataBar" priority="1">
      <dataBar>
        <cfvo type="min"/>
        <cfvo type="max"/>
        <color rgb="FF15803D"/>
      </dataBar>
    </cfRule>
    <cfRule type="dataBar" priority="2">
      <dataBar>
        <cfvo type="min"/>
        <cfvo type="max"/>
        <color rgb="FF15803D"/>
      </dataBar>
      <extLst>
        <ext xmlns:x14="http://schemas.microsoft.com/office/spreadsheetml/2009/9/main" uri="{B025F937-C7B1-47D3-B67F-A62EFF666E3E}">
          <x14:id>{21238F99-0487-776A-CE93-FA71E210EC49}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238F99-0487-776A-CE93-FA71E210EC49}">
            <x14:dataBar>
              <x14:cfvo type="min"/>
              <x14:cfvo type="max"/>
              <x14:negativeFillColor auto="1"/>
              <x14:axisColor auto="1"/>
            </x14:dataBar>
          </x14:cfRule>
          <xm:sqref>G4:G103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G3" sqref="G3"/>
    </sheetView>
  </sheetViews>
  <sheetFormatPr defaultRowHeight="14.25"/>
  <cols>
    <col min="1" max="4" width="18" customWidth="1"/>
    <col min="6" max="8" width="24" customWidth="1"/>
    <col min="10" max="10" width="10" customWidth="1"/>
  </cols>
  <sheetData>
    <row r="1" spans="1:10" ht="15">
      <c r="A1" s="1" t="s">
        <v>50</v>
      </c>
      <c r="B1" s="1" t="s">
        <v>51</v>
      </c>
      <c r="C1" s="1" t="s">
        <v>52</v>
      </c>
      <c r="D1" s="1" t="s">
        <v>53</v>
      </c>
      <c r="F1" s="1" t="s">
        <v>54</v>
      </c>
      <c r="G1" s="1" t="s">
        <v>52</v>
      </c>
      <c r="H1" s="1" t="s">
        <v>29</v>
      </c>
      <c r="J1" s="1" t="s">
        <v>55</v>
      </c>
    </row>
    <row r="2" spans="1:10">
      <c r="A2" t="s">
        <v>28</v>
      </c>
      <c r="B2" t="s">
        <v>56</v>
      </c>
      <c r="C2" t="s">
        <v>57</v>
      </c>
      <c r="F2" s="29" t="s">
        <v>157</v>
      </c>
      <c r="G2" t="s">
        <v>159</v>
      </c>
      <c r="H2" t="s">
        <v>58</v>
      </c>
      <c r="J2">
        <v>2</v>
      </c>
    </row>
    <row r="3" spans="1:10">
      <c r="A3" t="s">
        <v>28</v>
      </c>
      <c r="B3" t="s">
        <v>37</v>
      </c>
      <c r="C3" t="s">
        <v>59</v>
      </c>
      <c r="F3" s="29" t="s">
        <v>158</v>
      </c>
      <c r="G3" t="s">
        <v>60</v>
      </c>
      <c r="J3">
        <v>1</v>
      </c>
    </row>
    <row r="4" spans="1:10">
      <c r="A4" t="s">
        <v>28</v>
      </c>
      <c r="B4" t="s">
        <v>61</v>
      </c>
      <c r="C4" t="s">
        <v>62</v>
      </c>
      <c r="F4" t="s">
        <v>63</v>
      </c>
      <c r="G4" t="s">
        <v>64</v>
      </c>
      <c r="J4">
        <v>3</v>
      </c>
    </row>
    <row r="5" spans="1:10">
      <c r="A5" t="s">
        <v>28</v>
      </c>
      <c r="B5" t="s">
        <v>33</v>
      </c>
      <c r="C5" t="s">
        <v>65</v>
      </c>
      <c r="F5" t="s">
        <v>66</v>
      </c>
      <c r="G5" t="s">
        <v>67</v>
      </c>
      <c r="J5">
        <v>4</v>
      </c>
    </row>
    <row r="6" spans="1:10">
      <c r="A6" t="s">
        <v>28</v>
      </c>
      <c r="B6" t="s">
        <v>68</v>
      </c>
      <c r="C6" t="s">
        <v>69</v>
      </c>
      <c r="F6" t="s">
        <v>70</v>
      </c>
      <c r="G6" t="s">
        <v>71</v>
      </c>
      <c r="J6">
        <v>5</v>
      </c>
    </row>
    <row r="7" spans="1:10">
      <c r="A7" t="s">
        <v>28</v>
      </c>
      <c r="B7" t="s">
        <v>72</v>
      </c>
      <c r="C7" t="s">
        <v>73</v>
      </c>
    </row>
  </sheetData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4.25"/>
  <cols>
    <col min="1" max="1" width="18" customWidth="1"/>
    <col min="2" max="2" width="80" customWidth="1"/>
    <col min="3" max="8" width="18" customWidth="1"/>
  </cols>
  <sheetData>
    <row r="1" spans="1:8" ht="20.25">
      <c r="A1" s="25" t="s">
        <v>74</v>
      </c>
      <c r="B1" s="18"/>
      <c r="C1" s="18"/>
      <c r="D1" s="18"/>
      <c r="E1" s="18"/>
      <c r="F1" s="18"/>
      <c r="G1" s="18"/>
      <c r="H1" s="18"/>
    </row>
    <row r="3" spans="1:8" ht="15">
      <c r="A3" s="2" t="s">
        <v>75</v>
      </c>
      <c r="B3" s="2"/>
      <c r="C3" s="2"/>
      <c r="D3" s="2"/>
      <c r="E3" s="2"/>
      <c r="F3" s="2"/>
      <c r="G3" s="2"/>
      <c r="H3" s="2"/>
    </row>
    <row r="4" spans="1:8" ht="15">
      <c r="A4" s="3" t="s">
        <v>76</v>
      </c>
      <c r="B4" s="4" t="s">
        <v>77</v>
      </c>
      <c r="C4" s="4"/>
      <c r="D4" s="4"/>
      <c r="E4" s="4"/>
      <c r="F4" s="4"/>
      <c r="G4" s="4"/>
      <c r="H4" s="4"/>
    </row>
    <row r="5" spans="1:8" ht="29.25">
      <c r="A5" s="3" t="s">
        <v>78</v>
      </c>
      <c r="B5" s="4" t="s">
        <v>79</v>
      </c>
      <c r="C5" s="4"/>
      <c r="D5" s="4"/>
      <c r="E5" s="4"/>
      <c r="F5" s="4"/>
      <c r="G5" s="4"/>
      <c r="H5" s="4"/>
    </row>
    <row r="6" spans="1:8" ht="15">
      <c r="A6" s="3" t="s">
        <v>80</v>
      </c>
      <c r="B6" s="4" t="s">
        <v>81</v>
      </c>
      <c r="C6" s="4"/>
      <c r="D6" s="4"/>
      <c r="E6" s="4"/>
      <c r="F6" s="4"/>
      <c r="G6" s="4"/>
      <c r="H6" s="4"/>
    </row>
    <row r="7" spans="1:8" ht="29.25">
      <c r="A7" s="3" t="s">
        <v>82</v>
      </c>
      <c r="B7" s="4" t="s">
        <v>83</v>
      </c>
      <c r="C7" s="4"/>
      <c r="D7" s="4"/>
      <c r="E7" s="4"/>
      <c r="F7" s="4"/>
      <c r="G7" s="4"/>
      <c r="H7" s="4"/>
    </row>
    <row r="8" spans="1:8" ht="29.25">
      <c r="A8" s="3" t="s">
        <v>84</v>
      </c>
      <c r="B8" s="4" t="s">
        <v>85</v>
      </c>
      <c r="C8" s="4"/>
      <c r="D8" s="4"/>
      <c r="E8" s="4"/>
      <c r="F8" s="4"/>
      <c r="G8" s="4"/>
      <c r="H8" s="4"/>
    </row>
    <row r="9" spans="1:8" ht="29.25">
      <c r="A9" s="3" t="s">
        <v>86</v>
      </c>
      <c r="B9" s="4" t="s">
        <v>87</v>
      </c>
      <c r="C9" s="4"/>
      <c r="D9" s="4"/>
      <c r="E9" s="4"/>
      <c r="F9" s="4"/>
      <c r="G9" s="4"/>
      <c r="H9" s="4"/>
    </row>
    <row r="10" spans="1:8" ht="15">
      <c r="A10" s="3" t="s">
        <v>88</v>
      </c>
      <c r="B10" s="4" t="s">
        <v>89</v>
      </c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 ht="32.1" customHeight="1">
      <c r="A12" s="15" t="s">
        <v>90</v>
      </c>
      <c r="B12" s="4" t="s">
        <v>91</v>
      </c>
      <c r="C12" s="4"/>
      <c r="D12" s="4"/>
      <c r="E12" s="4"/>
      <c r="F12" s="4"/>
      <c r="G12" s="4"/>
      <c r="H12" s="4"/>
    </row>
    <row r="13" spans="1:8" ht="32.1" customHeight="1">
      <c r="A13" s="13" t="s">
        <v>92</v>
      </c>
      <c r="B13" s="4" t="s">
        <v>93</v>
      </c>
    </row>
    <row r="14" spans="1:8" ht="32.1" customHeight="1">
      <c r="A14" s="13" t="s">
        <v>94</v>
      </c>
      <c r="B14" s="4" t="s">
        <v>95</v>
      </c>
    </row>
    <row r="15" spans="1:8" ht="32.1" customHeight="1">
      <c r="A15" s="13" t="s">
        <v>96</v>
      </c>
      <c r="B15" s="4" t="s">
        <v>97</v>
      </c>
    </row>
  </sheetData>
  <mergeCells count="1">
    <mergeCell ref="A1:H1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topLeftCell="A2" workbookViewId="0">
      <selection activeCell="B16" sqref="B16"/>
    </sheetView>
  </sheetViews>
  <sheetFormatPr defaultRowHeight="14.25"/>
  <cols>
    <col min="1" max="1" width="25.25" customWidth="1"/>
    <col min="2" max="2" width="38" customWidth="1"/>
    <col min="3" max="3" width="18" customWidth="1"/>
    <col min="4" max="5" width="14" customWidth="1"/>
    <col min="6" max="6" width="12" customWidth="1"/>
    <col min="7" max="7" width="16" customWidth="1"/>
    <col min="8" max="8" width="32" customWidth="1"/>
  </cols>
  <sheetData>
    <row r="1" spans="1:8" ht="27.95" customHeight="1">
      <c r="A1" s="17" t="s">
        <v>98</v>
      </c>
      <c r="B1" s="18"/>
      <c r="C1" s="18"/>
      <c r="D1" s="18"/>
      <c r="E1" s="18"/>
      <c r="F1" s="18"/>
      <c r="G1" s="18"/>
      <c r="H1" s="18"/>
    </row>
    <row r="2" spans="1:8" ht="36" customHeight="1">
      <c r="A2" s="19" t="s">
        <v>99</v>
      </c>
      <c r="B2" s="18"/>
      <c r="C2" s="18"/>
      <c r="D2" s="18"/>
      <c r="E2" s="18"/>
      <c r="F2" s="18"/>
      <c r="G2" s="18"/>
      <c r="H2" s="18"/>
    </row>
    <row r="4" spans="1:8" ht="15">
      <c r="A4" s="14" t="s">
        <v>1</v>
      </c>
      <c r="B4" s="14" t="s">
        <v>100</v>
      </c>
      <c r="C4" s="14" t="s">
        <v>101</v>
      </c>
      <c r="D4" s="14" t="s">
        <v>102</v>
      </c>
      <c r="E4" s="14" t="s">
        <v>103</v>
      </c>
      <c r="F4" s="14" t="s">
        <v>104</v>
      </c>
      <c r="G4" s="14" t="s">
        <v>105</v>
      </c>
      <c r="H4" s="14" t="s">
        <v>29</v>
      </c>
    </row>
    <row r="5" spans="1:8" ht="28.5">
      <c r="A5" s="4" t="s">
        <v>106</v>
      </c>
      <c r="B5" s="4" t="s">
        <v>107</v>
      </c>
      <c r="C5" s="4" t="s">
        <v>108</v>
      </c>
      <c r="D5" s="4" t="s">
        <v>72</v>
      </c>
      <c r="E5" s="4" t="s">
        <v>109</v>
      </c>
      <c r="F5" s="4" t="s">
        <v>110</v>
      </c>
      <c r="G5" s="4" t="s">
        <v>111</v>
      </c>
      <c r="H5" s="4" t="s">
        <v>112</v>
      </c>
    </row>
    <row r="6" spans="1:8" ht="28.5">
      <c r="A6" s="4" t="s">
        <v>113</v>
      </c>
      <c r="B6" s="4" t="s">
        <v>114</v>
      </c>
      <c r="C6" s="4" t="s">
        <v>108</v>
      </c>
      <c r="D6" s="4" t="s">
        <v>72</v>
      </c>
      <c r="E6" s="4" t="s">
        <v>109</v>
      </c>
      <c r="F6" s="4" t="s">
        <v>110</v>
      </c>
      <c r="G6" s="4" t="s">
        <v>111</v>
      </c>
      <c r="H6" s="4" t="s">
        <v>112</v>
      </c>
    </row>
    <row r="7" spans="1:8">
      <c r="A7" s="4" t="s">
        <v>115</v>
      </c>
      <c r="B7" s="4" t="s">
        <v>116</v>
      </c>
      <c r="C7" s="4" t="s">
        <v>117</v>
      </c>
      <c r="D7" s="4" t="s">
        <v>72</v>
      </c>
      <c r="E7" s="4" t="s">
        <v>109</v>
      </c>
      <c r="F7" s="4" t="s">
        <v>110</v>
      </c>
      <c r="G7" s="4" t="s">
        <v>111</v>
      </c>
      <c r="H7" s="4" t="s">
        <v>112</v>
      </c>
    </row>
    <row r="8" spans="1:8" ht="17.25">
      <c r="A8" s="16" t="s">
        <v>118</v>
      </c>
      <c r="B8" s="4" t="s">
        <v>132</v>
      </c>
      <c r="C8" s="4" t="s">
        <v>133</v>
      </c>
      <c r="D8" s="4" t="s">
        <v>72</v>
      </c>
      <c r="E8" s="4" t="s">
        <v>109</v>
      </c>
      <c r="F8" s="4" t="s">
        <v>110</v>
      </c>
      <c r="G8" s="4" t="s">
        <v>111</v>
      </c>
      <c r="H8" s="4" t="s">
        <v>112</v>
      </c>
    </row>
    <row r="9" spans="1:8" ht="17.25">
      <c r="A9" s="16" t="s">
        <v>30</v>
      </c>
      <c r="B9" s="4" t="s">
        <v>132</v>
      </c>
      <c r="C9" s="4" t="s">
        <v>133</v>
      </c>
      <c r="D9" s="4" t="s">
        <v>72</v>
      </c>
      <c r="E9" s="4" t="s">
        <v>109</v>
      </c>
      <c r="F9" s="4" t="s">
        <v>110</v>
      </c>
      <c r="G9" s="4" t="s">
        <v>111</v>
      </c>
      <c r="H9" s="4" t="s">
        <v>112</v>
      </c>
    </row>
    <row r="10" spans="1:8" ht="17.25">
      <c r="A10" s="16" t="s">
        <v>119</v>
      </c>
      <c r="B10" s="4" t="s">
        <v>132</v>
      </c>
      <c r="C10" s="4" t="s">
        <v>133</v>
      </c>
      <c r="D10" s="4" t="s">
        <v>72</v>
      </c>
      <c r="E10" s="4" t="s">
        <v>109</v>
      </c>
      <c r="F10" s="4" t="s">
        <v>110</v>
      </c>
      <c r="G10" s="4" t="s">
        <v>111</v>
      </c>
      <c r="H10" s="4" t="s">
        <v>112</v>
      </c>
    </row>
    <row r="11" spans="1:8" ht="17.25">
      <c r="A11" s="16" t="s">
        <v>120</v>
      </c>
      <c r="B11" s="4" t="s">
        <v>132</v>
      </c>
      <c r="C11" s="4" t="s">
        <v>133</v>
      </c>
      <c r="D11" s="4" t="s">
        <v>72</v>
      </c>
      <c r="E11" s="4" t="s">
        <v>109</v>
      </c>
      <c r="F11" s="4" t="s">
        <v>110</v>
      </c>
      <c r="G11" s="4" t="s">
        <v>111</v>
      </c>
      <c r="H11" s="4" t="s">
        <v>112</v>
      </c>
    </row>
    <row r="12" spans="1:8" ht="17.25">
      <c r="A12" s="16" t="s">
        <v>121</v>
      </c>
      <c r="B12" s="4" t="s">
        <v>132</v>
      </c>
      <c r="C12" s="4" t="s">
        <v>133</v>
      </c>
      <c r="D12" s="4" t="s">
        <v>72</v>
      </c>
      <c r="E12" s="4" t="s">
        <v>109</v>
      </c>
      <c r="F12" s="4" t="s">
        <v>110</v>
      </c>
      <c r="G12" s="4" t="s">
        <v>111</v>
      </c>
      <c r="H12" s="4" t="s">
        <v>112</v>
      </c>
    </row>
    <row r="13" spans="1:8" ht="17.25">
      <c r="A13" s="16" t="s">
        <v>122</v>
      </c>
      <c r="B13" s="4" t="s">
        <v>132</v>
      </c>
      <c r="C13" s="4" t="s">
        <v>133</v>
      </c>
      <c r="D13" s="4" t="s">
        <v>72</v>
      </c>
      <c r="E13" s="4" t="s">
        <v>109</v>
      </c>
      <c r="F13" s="4" t="s">
        <v>110</v>
      </c>
      <c r="G13" s="4" t="s">
        <v>111</v>
      </c>
      <c r="H13" s="4" t="s">
        <v>112</v>
      </c>
    </row>
    <row r="14" spans="1:8" ht="17.25">
      <c r="A14" s="16" t="s">
        <v>123</v>
      </c>
      <c r="B14" s="4" t="s">
        <v>132</v>
      </c>
      <c r="C14" s="4" t="s">
        <v>133</v>
      </c>
      <c r="D14" s="4" t="s">
        <v>72</v>
      </c>
      <c r="E14" s="4" t="s">
        <v>109</v>
      </c>
      <c r="F14" s="4" t="s">
        <v>110</v>
      </c>
      <c r="G14" s="4" t="s">
        <v>111</v>
      </c>
      <c r="H14" s="4" t="s">
        <v>112</v>
      </c>
    </row>
    <row r="15" spans="1:8" ht="17.25">
      <c r="A15" s="16" t="s">
        <v>124</v>
      </c>
      <c r="B15" s="4" t="s">
        <v>132</v>
      </c>
      <c r="C15" s="4" t="s">
        <v>133</v>
      </c>
      <c r="D15" s="4" t="s">
        <v>72</v>
      </c>
      <c r="E15" s="4" t="s">
        <v>109</v>
      </c>
      <c r="F15" s="4" t="s">
        <v>110</v>
      </c>
      <c r="G15" s="4" t="s">
        <v>111</v>
      </c>
      <c r="H15" s="4" t="s">
        <v>112</v>
      </c>
    </row>
    <row r="16" spans="1:8" ht="17.25">
      <c r="A16" s="16" t="s">
        <v>125</v>
      </c>
      <c r="B16" s="4" t="s">
        <v>132</v>
      </c>
      <c r="C16" s="4" t="s">
        <v>133</v>
      </c>
      <c r="D16" s="4" t="s">
        <v>72</v>
      </c>
      <c r="E16" s="4" t="s">
        <v>109</v>
      </c>
      <c r="F16" s="4" t="s">
        <v>110</v>
      </c>
      <c r="G16" s="4" t="s">
        <v>111</v>
      </c>
      <c r="H16" s="4" t="s">
        <v>112</v>
      </c>
    </row>
    <row r="17" spans="1:8" ht="17.25">
      <c r="A17" s="16" t="s">
        <v>126</v>
      </c>
      <c r="B17" s="4" t="s">
        <v>132</v>
      </c>
      <c r="C17" s="4" t="s">
        <v>133</v>
      </c>
      <c r="D17" s="4" t="s">
        <v>72</v>
      </c>
      <c r="E17" s="4" t="s">
        <v>109</v>
      </c>
      <c r="F17" s="4" t="s">
        <v>110</v>
      </c>
      <c r="G17" s="4" t="s">
        <v>111</v>
      </c>
      <c r="H17" s="4" t="s">
        <v>112</v>
      </c>
    </row>
    <row r="18" spans="1:8" ht="17.25">
      <c r="A18" s="16" t="s">
        <v>127</v>
      </c>
      <c r="B18" s="4" t="s">
        <v>132</v>
      </c>
      <c r="C18" s="4" t="s">
        <v>133</v>
      </c>
      <c r="D18" s="4" t="s">
        <v>72</v>
      </c>
      <c r="E18" s="4" t="s">
        <v>109</v>
      </c>
      <c r="F18" s="4" t="s">
        <v>110</v>
      </c>
      <c r="G18" s="4" t="s">
        <v>111</v>
      </c>
      <c r="H18" s="4" t="s">
        <v>112</v>
      </c>
    </row>
    <row r="19" spans="1:8" ht="17.25">
      <c r="A19" s="16" t="s">
        <v>128</v>
      </c>
      <c r="B19" s="4" t="s">
        <v>132</v>
      </c>
      <c r="C19" s="4" t="s">
        <v>133</v>
      </c>
      <c r="D19" s="4" t="s">
        <v>72</v>
      </c>
      <c r="E19" s="4" t="s">
        <v>109</v>
      </c>
      <c r="F19" s="4" t="s">
        <v>110</v>
      </c>
      <c r="G19" s="4" t="s">
        <v>111</v>
      </c>
      <c r="H19" s="4" t="s">
        <v>112</v>
      </c>
    </row>
    <row r="20" spans="1:8" ht="17.25">
      <c r="A20" s="16" t="s">
        <v>129</v>
      </c>
      <c r="B20" s="4" t="s">
        <v>132</v>
      </c>
      <c r="C20" s="4" t="s">
        <v>133</v>
      </c>
      <c r="D20" s="4" t="s">
        <v>72</v>
      </c>
      <c r="E20" s="4" t="s">
        <v>109</v>
      </c>
      <c r="F20" s="4" t="s">
        <v>110</v>
      </c>
      <c r="G20" s="4" t="s">
        <v>111</v>
      </c>
      <c r="H20" s="4" t="s">
        <v>112</v>
      </c>
    </row>
    <row r="21" spans="1:8" ht="28.5">
      <c r="A21" s="16" t="s">
        <v>130</v>
      </c>
      <c r="B21" s="4" t="s">
        <v>114</v>
      </c>
      <c r="C21" s="4" t="s">
        <v>108</v>
      </c>
      <c r="D21" s="4" t="s">
        <v>72</v>
      </c>
      <c r="E21" s="4" t="s">
        <v>109</v>
      </c>
      <c r="F21" s="4" t="s">
        <v>110</v>
      </c>
      <c r="G21" s="4" t="s">
        <v>111</v>
      </c>
      <c r="H21" s="4" t="s">
        <v>112</v>
      </c>
    </row>
    <row r="22" spans="1:8" ht="17.25">
      <c r="A22" s="16" t="s">
        <v>131</v>
      </c>
      <c r="B22" s="4" t="s">
        <v>132</v>
      </c>
      <c r="C22" s="4" t="s">
        <v>133</v>
      </c>
      <c r="D22" s="4" t="s">
        <v>72</v>
      </c>
      <c r="E22" s="4" t="s">
        <v>109</v>
      </c>
      <c r="F22" s="4" t="s">
        <v>110</v>
      </c>
      <c r="G22" s="4" t="s">
        <v>111</v>
      </c>
      <c r="H22" s="4" t="s">
        <v>112</v>
      </c>
    </row>
    <row r="23" spans="1:8" ht="17.25">
      <c r="A23" s="16" t="s">
        <v>134</v>
      </c>
      <c r="B23" s="4" t="s">
        <v>132</v>
      </c>
      <c r="C23" s="4" t="s">
        <v>133</v>
      </c>
      <c r="D23" s="4" t="s">
        <v>72</v>
      </c>
      <c r="E23" s="4" t="s">
        <v>109</v>
      </c>
      <c r="F23" s="4" t="s">
        <v>110</v>
      </c>
      <c r="G23" s="4" t="s">
        <v>111</v>
      </c>
      <c r="H23" s="4" t="s">
        <v>112</v>
      </c>
    </row>
    <row r="24" spans="1:8" ht="17.25">
      <c r="A24" s="16" t="s">
        <v>135</v>
      </c>
      <c r="B24" s="4" t="s">
        <v>132</v>
      </c>
      <c r="C24" s="4" t="s">
        <v>133</v>
      </c>
      <c r="D24" s="4" t="s">
        <v>72</v>
      </c>
      <c r="E24" s="4" t="s">
        <v>109</v>
      </c>
      <c r="F24" s="4" t="s">
        <v>110</v>
      </c>
      <c r="G24" s="4" t="s">
        <v>111</v>
      </c>
      <c r="H24" s="4" t="s">
        <v>112</v>
      </c>
    </row>
    <row r="25" spans="1:8" ht="17.25">
      <c r="A25" s="16" t="s">
        <v>136</v>
      </c>
      <c r="B25" s="4" t="s">
        <v>132</v>
      </c>
      <c r="C25" s="4" t="s">
        <v>133</v>
      </c>
      <c r="D25" s="4" t="s">
        <v>72</v>
      </c>
      <c r="E25" s="4" t="s">
        <v>109</v>
      </c>
      <c r="F25" s="4" t="s">
        <v>110</v>
      </c>
      <c r="G25" s="4" t="s">
        <v>111</v>
      </c>
      <c r="H25" s="4" t="s">
        <v>112</v>
      </c>
    </row>
    <row r="26" spans="1:8" ht="28.5">
      <c r="A26" s="16" t="s">
        <v>137</v>
      </c>
      <c r="B26" s="4" t="s">
        <v>114</v>
      </c>
      <c r="C26" s="4" t="s">
        <v>108</v>
      </c>
      <c r="D26" s="4" t="s">
        <v>72</v>
      </c>
      <c r="E26" s="4" t="s">
        <v>109</v>
      </c>
      <c r="F26" s="4" t="s">
        <v>110</v>
      </c>
      <c r="G26" s="4" t="s">
        <v>111</v>
      </c>
      <c r="H26" s="4" t="s">
        <v>112</v>
      </c>
    </row>
    <row r="27" spans="1:8" ht="17.25">
      <c r="A27" s="16" t="s">
        <v>138</v>
      </c>
      <c r="B27" s="4" t="s">
        <v>132</v>
      </c>
      <c r="C27" s="4" t="s">
        <v>133</v>
      </c>
      <c r="D27" s="4" t="s">
        <v>72</v>
      </c>
      <c r="E27" s="4" t="s">
        <v>109</v>
      </c>
      <c r="F27" s="4" t="s">
        <v>110</v>
      </c>
      <c r="G27" s="4" t="s">
        <v>111</v>
      </c>
      <c r="H27" s="4" t="s">
        <v>112</v>
      </c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4"/>
      <c r="B60" s="4"/>
      <c r="C60" s="4"/>
      <c r="D60" s="4"/>
      <c r="E60" s="4"/>
      <c r="F60" s="4"/>
      <c r="G60" s="4"/>
      <c r="H60" s="4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  <row r="97" spans="1:8">
      <c r="A97" s="4"/>
      <c r="B97" s="4"/>
      <c r="C97" s="4"/>
      <c r="D97" s="4"/>
      <c r="E97" s="4"/>
      <c r="F97" s="4"/>
      <c r="G97" s="4"/>
      <c r="H97" s="4"/>
    </row>
    <row r="98" spans="1:8">
      <c r="A98" s="4"/>
      <c r="B98" s="4"/>
      <c r="C98" s="4"/>
      <c r="D98" s="4"/>
      <c r="E98" s="4"/>
      <c r="F98" s="4"/>
      <c r="G98" s="4"/>
      <c r="H98" s="4"/>
    </row>
    <row r="99" spans="1:8">
      <c r="A99" s="4"/>
      <c r="B99" s="4"/>
      <c r="C99" s="4"/>
      <c r="D99" s="4"/>
      <c r="E99" s="4"/>
      <c r="F99" s="4"/>
      <c r="G99" s="4"/>
      <c r="H99" s="4"/>
    </row>
    <row r="100" spans="1:8">
      <c r="A100" s="4"/>
      <c r="B100" s="4"/>
      <c r="C100" s="4"/>
      <c r="D100" s="4"/>
      <c r="E100" s="4"/>
      <c r="F100" s="4"/>
      <c r="G100" s="4"/>
      <c r="H100" s="4"/>
    </row>
  </sheetData>
  <mergeCells count="2">
    <mergeCell ref="A1:H1"/>
    <mergeCell ref="A2:H2"/>
  </mergeCells>
  <phoneticPr fontId="10"/>
  <dataValidations count="3">
    <dataValidation type="list" sqref="C5:C100" xr:uid="{00000000-0002-0000-0400-000000000000}">
      <formula1>"メタル系,宝箱系,転生系,ボス系,単体出現が少ない,アクセス悪い,硬すぎる,その他"</formula1>
    </dataValidation>
    <dataValidation type="list" sqref="D5:D100" xr:uid="{00000000-0002-0000-0400-000001000000}">
      <formula1>"除外,保留,要検証"</formula1>
    </dataValidation>
    <dataValidation type="list" sqref="G5:G100" xr:uid="{00000000-0002-0000-0400-000002000000}">
      <formula1>"未,済,不要"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検証ログ</vt:lpstr>
      <vt:lpstr>実測ランキング</vt:lpstr>
      <vt:lpstr>設定</vt:lpstr>
      <vt:lpstr>使い方</vt:lpstr>
      <vt:lpstr>除外リスト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優也 藤原</cp:lastModifiedBy>
  <dcterms:modified xsi:type="dcterms:W3CDTF">2026-06-19T22:28:26Z</dcterms:modified>
</cp:coreProperties>
</file>